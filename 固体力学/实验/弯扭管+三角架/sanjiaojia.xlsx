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200" tabRatio="500"/>
  </bookViews>
  <sheets>
    <sheet name="表单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A12" i="1"/>
  <c r="B9" i="1"/>
  <c r="C9" i="1"/>
  <c r="D9" i="1"/>
  <c r="E9" i="1"/>
  <c r="A9" i="1"/>
  <c r="B10" i="1"/>
  <c r="C10" i="1"/>
  <c r="D10" i="1"/>
  <c r="E10" i="1"/>
  <c r="A10" i="1"/>
  <c r="E7" i="1"/>
  <c r="B7" i="1"/>
  <c r="C7" i="1"/>
  <c r="D7" i="1"/>
  <c r="A7" i="1"/>
  <c r="B2" i="1"/>
  <c r="C2" i="1"/>
  <c r="D2" i="1"/>
  <c r="E2" i="1"/>
  <c r="A2" i="1"/>
  <c r="B4" i="1"/>
  <c r="C4" i="1"/>
  <c r="D4" i="1"/>
  <c r="E4" i="1"/>
  <c r="A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3">
    <cellStyle name="常规" xfId="0" builtinId="0"/>
    <cellStyle name="超级链接" xfId="1" builtinId="8" hidden="1"/>
    <cellStyle name="随超级链接" xfId="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topLeftCell="A3" workbookViewId="0">
      <selection activeCell="M17" sqref="M17"/>
    </sheetView>
  </sheetViews>
  <sheetFormatPr baseColWidth="10" defaultRowHeight="15" x14ac:dyDescent="0"/>
  <sheetData>
    <row r="1" spans="1:7">
      <c r="A1">
        <v>4.43</v>
      </c>
      <c r="B1">
        <v>7.95</v>
      </c>
      <c r="C1">
        <v>11.38</v>
      </c>
      <c r="D1">
        <v>14.93</v>
      </c>
      <c r="E1">
        <v>18.399999999999999</v>
      </c>
    </row>
    <row r="2" spans="1:7">
      <c r="A2">
        <f>6*(33.48-A1)*100/(1.48*2.01*2.01)/78*10</f>
        <v>373.72224941839562</v>
      </c>
      <c r="B2">
        <f t="shared" ref="B2:E2" si="0">6*(33.48-B1)*100/(1.48*2.01*2.01)/78*10</f>
        <v>328.43817651124402</v>
      </c>
      <c r="C2">
        <f t="shared" si="0"/>
        <v>284.31193501365027</v>
      </c>
      <c r="D2">
        <f t="shared" si="0"/>
        <v>238.64191830331282</v>
      </c>
      <c r="E2">
        <f t="shared" si="0"/>
        <v>194.00108506813783</v>
      </c>
    </row>
    <row r="3" spans="1:7">
      <c r="A3">
        <v>388</v>
      </c>
      <c r="B3">
        <v>339</v>
      </c>
      <c r="C3">
        <v>291</v>
      </c>
      <c r="D3">
        <v>242</v>
      </c>
      <c r="E3">
        <v>204</v>
      </c>
    </row>
    <row r="4" spans="1:7">
      <c r="A4">
        <f>(A2-A3)/A2</f>
        <v>-3.8204175972461091E-2</v>
      </c>
      <c r="B4">
        <f t="shared" ref="B4:E4" si="1">(B2-B3)/B2</f>
        <v>-3.2157721739130389E-2</v>
      </c>
      <c r="C4">
        <f t="shared" si="1"/>
        <v>-2.3523687058823701E-2</v>
      </c>
      <c r="D4">
        <f t="shared" si="1"/>
        <v>-1.407163385444745E-2</v>
      </c>
      <c r="E4">
        <f t="shared" si="1"/>
        <v>-5.1540510344827789E-2</v>
      </c>
    </row>
    <row r="6" spans="1:7">
      <c r="A6">
        <v>7.93</v>
      </c>
      <c r="B6">
        <v>11.45</v>
      </c>
      <c r="C6">
        <v>14.88</v>
      </c>
      <c r="D6">
        <v>18.43</v>
      </c>
      <c r="E6">
        <v>21.9</v>
      </c>
      <c r="G6" s="1"/>
    </row>
    <row r="7" spans="1:7">
      <c r="A7">
        <f>(677/(1.48*2.01)-134.6*A6*6/(1.48*2.01*2.01))/78</f>
        <v>-10.813926663781867</v>
      </c>
      <c r="B7">
        <f t="shared" ref="B7:E7" si="2">(677/(1.48*2.01)-134.6*B6*6/(1.48*2.01*2.01))/78</f>
        <v>-16.909162877084462</v>
      </c>
      <c r="C7">
        <f t="shared" si="2"/>
        <v>-22.848554982660577</v>
      </c>
      <c r="D7">
        <f t="shared" si="2"/>
        <v>-28.995739231872005</v>
      </c>
      <c r="E7">
        <f t="shared" si="2"/>
        <v>-35.004395385326553</v>
      </c>
    </row>
    <row r="8" spans="1:7">
      <c r="A8">
        <v>-15.1</v>
      </c>
      <c r="B8">
        <v>-20.7</v>
      </c>
      <c r="C8">
        <v>-26.1</v>
      </c>
      <c r="D8">
        <v>-31.9</v>
      </c>
      <c r="E8">
        <v>-38</v>
      </c>
    </row>
    <row r="9" spans="1:7">
      <c r="A9">
        <f>(A7-A8)/A7</f>
        <v>-0.3963475497363137</v>
      </c>
      <c r="B9">
        <f t="shared" ref="B9:E9" si="3">(B7-B8)/B7</f>
        <v>-0.22418833803138377</v>
      </c>
      <c r="C9">
        <f t="shared" si="3"/>
        <v>-0.1423041859674232</v>
      </c>
      <c r="D9">
        <f t="shared" si="3"/>
        <v>-0.10016163909129248</v>
      </c>
      <c r="E9">
        <f t="shared" si="3"/>
        <v>-8.5577956188015461E-2</v>
      </c>
    </row>
    <row r="10" spans="1:7">
      <c r="A10">
        <f>(677/(1.48*2.01)+134.6*A6*6/(1.48*2.01*2.01))/78</f>
        <v>16.649268320019047</v>
      </c>
      <c r="B10">
        <f t="shared" ref="B10:E10" si="4">(677/(1.48*2.01)+134.6*B6*6/(1.48*2.01*2.01))/78</f>
        <v>22.744504533321642</v>
      </c>
      <c r="C10">
        <f t="shared" si="4"/>
        <v>28.683896638897757</v>
      </c>
      <c r="D10">
        <f t="shared" si="4"/>
        <v>34.831080888109177</v>
      </c>
      <c r="E10">
        <f t="shared" si="4"/>
        <v>40.83973704156373</v>
      </c>
    </row>
    <row r="11" spans="1:7">
      <c r="A11">
        <v>10.199999999999999</v>
      </c>
      <c r="B11">
        <v>16.8</v>
      </c>
      <c r="C11">
        <v>21.3</v>
      </c>
      <c r="D11">
        <v>26.9</v>
      </c>
      <c r="E11">
        <v>32.5</v>
      </c>
    </row>
    <row r="12" spans="1:7">
      <c r="A12">
        <f>(A10-A11)/A10</f>
        <v>0.38736046510010658</v>
      </c>
      <c r="B12">
        <f t="shared" ref="B12:E12" si="5">(B10-B11)/B10</f>
        <v>0.26136003642606043</v>
      </c>
      <c r="C12">
        <f t="shared" si="5"/>
        <v>0.25742306674207494</v>
      </c>
      <c r="D12">
        <f t="shared" si="5"/>
        <v>0.22770125663303012</v>
      </c>
      <c r="E12">
        <f t="shared" si="5"/>
        <v>0.20420643338315692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工作标</vt:lpstr>
      </vt:variant>
      <vt:variant>
        <vt:i4>1</vt:i4>
      </vt:variant>
    </vt:vector>
  </HeadingPairs>
  <TitlesOfParts>
    <vt:vector size="1" baseType="lpstr">
      <vt:lpstr>表单1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2012-05-29T08:53:04Z</dcterms:created>
  <dcterms:modified xsi:type="dcterms:W3CDTF">2012-05-29T09:54:30Z</dcterms:modified>
</cp:coreProperties>
</file>