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 activeTab="1"/>
  </bookViews>
  <sheets>
    <sheet name="全部数据" sheetId="1" r:id="rId1"/>
    <sheet name="计算数据" sheetId="3" r:id="rId2"/>
  </sheets>
  <calcPr calcId="125725"/>
</workbook>
</file>

<file path=xl/calcChain.xml><?xml version="1.0" encoding="utf-8"?>
<calcChain xmlns="http://schemas.openxmlformats.org/spreadsheetml/2006/main">
  <c r="R67" i="3"/>
  <c r="R63"/>
  <c r="R32"/>
  <c r="H43"/>
  <c r="G43"/>
  <c r="F43"/>
  <c r="E43"/>
  <c r="D43"/>
  <c r="H42"/>
  <c r="G42"/>
  <c r="F42"/>
  <c r="E42"/>
  <c r="D42"/>
  <c r="E39"/>
  <c r="F39"/>
  <c r="G39"/>
  <c r="H39"/>
  <c r="E33"/>
  <c r="F33"/>
  <c r="G33"/>
  <c r="H33"/>
  <c r="E32"/>
  <c r="F32"/>
  <c r="G32"/>
  <c r="H32"/>
  <c r="D39"/>
  <c r="E68"/>
  <c r="F68"/>
  <c r="G68"/>
  <c r="H68"/>
  <c r="D68"/>
  <c r="E67"/>
  <c r="F67"/>
  <c r="G67"/>
  <c r="H67"/>
  <c r="D67"/>
  <c r="E64"/>
  <c r="F64"/>
  <c r="G64"/>
  <c r="H64"/>
  <c r="D64"/>
  <c r="D33"/>
  <c r="D32"/>
  <c r="E58"/>
  <c r="F58"/>
  <c r="G58"/>
  <c r="H58"/>
  <c r="D58"/>
  <c r="R57"/>
  <c r="E57"/>
  <c r="F57"/>
  <c r="G57"/>
  <c r="H57"/>
  <c r="D57"/>
  <c r="E16"/>
  <c r="F16"/>
  <c r="G16"/>
  <c r="H16"/>
  <c r="D16"/>
  <c r="J37"/>
  <c r="K37"/>
  <c r="L37"/>
  <c r="M37"/>
  <c r="I37"/>
  <c r="E37"/>
  <c r="F37"/>
  <c r="G37"/>
  <c r="H37"/>
  <c r="D37"/>
  <c r="R66"/>
  <c r="R62"/>
  <c r="J62"/>
  <c r="K62"/>
  <c r="L62"/>
  <c r="M62"/>
  <c r="I62"/>
  <c r="E62"/>
  <c r="F62"/>
  <c r="G62"/>
  <c r="H62"/>
  <c r="D62"/>
  <c r="E14"/>
  <c r="F14"/>
  <c r="G14"/>
  <c r="H14"/>
  <c r="D14"/>
  <c r="I14"/>
  <c r="J14"/>
  <c r="K14"/>
  <c r="L14"/>
  <c r="M14"/>
  <c r="E54"/>
  <c r="F54"/>
  <c r="G54"/>
  <c r="H54"/>
  <c r="I54"/>
  <c r="J54"/>
  <c r="K54"/>
  <c r="L54"/>
  <c r="M54"/>
  <c r="N54"/>
  <c r="O54"/>
  <c r="P54"/>
  <c r="Q54"/>
  <c r="D54"/>
  <c r="E51"/>
  <c r="E55" s="1"/>
  <c r="E56" s="1"/>
  <c r="F51"/>
  <c r="F55" s="1"/>
  <c r="F56" s="1"/>
  <c r="G51"/>
  <c r="G55" s="1"/>
  <c r="G56" s="1"/>
  <c r="H51"/>
  <c r="H55" s="1"/>
  <c r="H56" s="1"/>
  <c r="I51"/>
  <c r="I55" s="1"/>
  <c r="I56" s="1"/>
  <c r="J51"/>
  <c r="J55" s="1"/>
  <c r="J56" s="1"/>
  <c r="K51"/>
  <c r="K55" s="1"/>
  <c r="K56" s="1"/>
  <c r="K66" s="1"/>
  <c r="L51"/>
  <c r="L55" s="1"/>
  <c r="L56" s="1"/>
  <c r="M51"/>
  <c r="M55" s="1"/>
  <c r="M56" s="1"/>
  <c r="M66" s="1"/>
  <c r="N51"/>
  <c r="N55" s="1"/>
  <c r="N56" s="1"/>
  <c r="O51"/>
  <c r="O55" s="1"/>
  <c r="O56" s="1"/>
  <c r="P51"/>
  <c r="P55" s="1"/>
  <c r="P56" s="1"/>
  <c r="Q51"/>
  <c r="Q55" s="1"/>
  <c r="Q56" s="1"/>
  <c r="D51"/>
  <c r="D55" s="1"/>
  <c r="D56" s="1"/>
  <c r="D66" s="1"/>
  <c r="E29"/>
  <c r="F29"/>
  <c r="G29"/>
  <c r="H29"/>
  <c r="I29"/>
  <c r="J29"/>
  <c r="K29"/>
  <c r="L29"/>
  <c r="M29"/>
  <c r="N29"/>
  <c r="O29"/>
  <c r="P29"/>
  <c r="Q29"/>
  <c r="D29"/>
  <c r="E26"/>
  <c r="E30" s="1"/>
  <c r="E31" s="1"/>
  <c r="F26"/>
  <c r="F30" s="1"/>
  <c r="F31" s="1"/>
  <c r="G26"/>
  <c r="G30" s="1"/>
  <c r="G31" s="1"/>
  <c r="H26"/>
  <c r="H30" s="1"/>
  <c r="H31" s="1"/>
  <c r="I26"/>
  <c r="I30" s="1"/>
  <c r="I31" s="1"/>
  <c r="I41" s="1"/>
  <c r="J26"/>
  <c r="J30" s="1"/>
  <c r="J31" s="1"/>
  <c r="K26"/>
  <c r="K30" s="1"/>
  <c r="K31" s="1"/>
  <c r="K41" s="1"/>
  <c r="L26"/>
  <c r="L30" s="1"/>
  <c r="L31" s="1"/>
  <c r="M26"/>
  <c r="M30" s="1"/>
  <c r="M31" s="1"/>
  <c r="M41" s="1"/>
  <c r="N26"/>
  <c r="N30" s="1"/>
  <c r="N31" s="1"/>
  <c r="O26"/>
  <c r="O30" s="1"/>
  <c r="O31" s="1"/>
  <c r="P26"/>
  <c r="P30" s="1"/>
  <c r="P31" s="1"/>
  <c r="Q26"/>
  <c r="Q30" s="1"/>
  <c r="Q31" s="1"/>
  <c r="D26"/>
  <c r="D30" s="1"/>
  <c r="D31" s="1"/>
  <c r="D41" s="1"/>
  <c r="E7"/>
  <c r="E8" s="1"/>
  <c r="E18" s="1"/>
  <c r="F7"/>
  <c r="F8" s="1"/>
  <c r="F18" s="1"/>
  <c r="G7"/>
  <c r="G8" s="1"/>
  <c r="G18" s="1"/>
  <c r="H7"/>
  <c r="H8" s="1"/>
  <c r="H18" s="1"/>
  <c r="I7"/>
  <c r="I8" s="1"/>
  <c r="D10" s="1"/>
  <c r="D19" s="1"/>
  <c r="J7"/>
  <c r="J8" s="1"/>
  <c r="E10" s="1"/>
  <c r="E19" s="1"/>
  <c r="K7"/>
  <c r="K8" s="1"/>
  <c r="F10" s="1"/>
  <c r="F19" s="1"/>
  <c r="L7"/>
  <c r="L8" s="1"/>
  <c r="G10" s="1"/>
  <c r="G19" s="1"/>
  <c r="M7"/>
  <c r="M8" s="1"/>
  <c r="H10" s="1"/>
  <c r="H19" s="1"/>
  <c r="D7"/>
  <c r="D8" s="1"/>
  <c r="D9" s="1"/>
  <c r="H9" l="1"/>
  <c r="F9"/>
  <c r="G9"/>
  <c r="E9"/>
  <c r="I66"/>
  <c r="D18"/>
  <c r="L41"/>
  <c r="J41"/>
  <c r="H41"/>
  <c r="L66"/>
  <c r="J66"/>
  <c r="M18"/>
  <c r="K18"/>
  <c r="I18"/>
  <c r="H66"/>
  <c r="F66"/>
  <c r="F41"/>
  <c r="L18"/>
  <c r="J18"/>
  <c r="G66"/>
  <c r="E66"/>
  <c r="G41"/>
  <c r="E41"/>
</calcChain>
</file>

<file path=xl/sharedStrings.xml><?xml version="1.0" encoding="utf-8"?>
<sst xmlns="http://schemas.openxmlformats.org/spreadsheetml/2006/main" count="158" uniqueCount="56">
  <si>
    <t>？？？</t>
    <phoneticPr fontId="1" type="noConversion"/>
  </si>
  <si>
    <t>page</t>
    <phoneticPr fontId="1" type="noConversion"/>
  </si>
  <si>
    <t>C010</t>
    <phoneticPr fontId="1" type="noConversion"/>
  </si>
  <si>
    <t>C011</t>
    <phoneticPr fontId="1" type="noConversion"/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</si>
  <si>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</si>
  <si>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</si>
  <si>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</si>
  <si>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</si>
  <si>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</si>
  <si>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</si>
  <si>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</si>
  <si>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</si>
  <si>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</si>
  <si>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</si>
  <si>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</si>
  <si>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</si>
  <si>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time</t>
    <phoneticPr fontId="1" type="noConversion"/>
  </si>
  <si>
    <t>statue</t>
    <phoneticPr fontId="1" type="noConversion"/>
  </si>
  <si>
    <t>序号</t>
    <phoneticPr fontId="1" type="noConversion"/>
  </si>
  <si>
    <t>压缩</t>
    <phoneticPr fontId="1" type="noConversion"/>
  </si>
  <si>
    <t>拉伸</t>
    <phoneticPr fontId="1" type="noConversion"/>
  </si>
  <si>
    <t>悬臂</t>
    <phoneticPr fontId="1" type="noConversion"/>
  </si>
  <si>
    <t>应变片</t>
    <phoneticPr fontId="1" type="noConversion"/>
  </si>
  <si>
    <t>1#</t>
    <phoneticPr fontId="1" type="noConversion"/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</si>
  <si>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</si>
  <si>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</si>
  <si>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</si>
  <si>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</si>
  <si>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</si>
  <si>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</si>
  <si>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</si>
  <si>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</si>
  <si>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</si>
  <si>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初载</t>
    <phoneticPr fontId="1" type="noConversion"/>
  </si>
  <si>
    <t>末载</t>
    <phoneticPr fontId="1" type="noConversion"/>
  </si>
  <si>
    <t>σ</t>
  </si>
  <si>
    <t>11#</t>
  </si>
  <si>
    <t>12#</t>
  </si>
  <si>
    <t>13#</t>
  </si>
  <si>
    <t>14#</t>
  </si>
  <si>
    <t>静不定</t>
    <phoneticPr fontId="1" type="noConversion"/>
  </si>
  <si>
    <t>静定</t>
    <phoneticPr fontId="1" type="noConversion"/>
  </si>
  <si>
    <t>ε/μ</t>
    <phoneticPr fontId="1" type="noConversion"/>
  </si>
  <si>
    <t>σ/Mpa</t>
    <phoneticPr fontId="1" type="noConversion"/>
  </si>
  <si>
    <r>
      <t>ε</t>
    </r>
    <r>
      <rPr>
        <vertAlign val="subscript"/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/μ</t>
    </r>
    <phoneticPr fontId="1" type="noConversion"/>
  </si>
  <si>
    <r>
      <t>ε</t>
    </r>
    <r>
      <rPr>
        <vertAlign val="sub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/μ</t>
    </r>
    <phoneticPr fontId="1" type="noConversion"/>
  </si>
  <si>
    <t>有用数据</t>
    <phoneticPr fontId="1" type="noConversion"/>
  </si>
  <si>
    <t>理论值</t>
    <phoneticPr fontId="1" type="noConversion"/>
  </si>
  <si>
    <t>x/cm</t>
    <phoneticPr fontId="1" type="noConversion"/>
  </si>
  <si>
    <t>测量值</t>
    <phoneticPr fontId="1" type="noConversion"/>
  </si>
  <si>
    <t>相对误差</t>
    <phoneticPr fontId="1" type="noConversion"/>
  </si>
  <si>
    <t>斜杆</t>
    <phoneticPr fontId="1" type="noConversion"/>
  </si>
  <si>
    <t>M/N·m</t>
    <phoneticPr fontId="1" type="noConversion"/>
  </si>
  <si>
    <r>
      <t>F</t>
    </r>
    <r>
      <rPr>
        <vertAlign val="subscript"/>
        <sz val="11"/>
        <color theme="1"/>
        <rFont val="宋体"/>
        <family val="3"/>
        <charset val="134"/>
        <scheme val="minor"/>
      </rPr>
      <t>N</t>
    </r>
    <r>
      <rPr>
        <sz val="11"/>
        <color theme="1"/>
        <rFont val="宋体"/>
        <family val="2"/>
        <charset val="134"/>
        <scheme val="minor"/>
      </rPr>
      <t>/N</t>
    </r>
    <phoneticPr fontId="1" type="noConversion"/>
  </si>
  <si>
    <t>M</t>
    <phoneticPr fontId="1" type="noConversion"/>
  </si>
  <si>
    <r>
      <t>F</t>
    </r>
    <r>
      <rPr>
        <vertAlign val="subscript"/>
        <sz val="11"/>
        <color theme="1"/>
        <rFont val="宋体"/>
        <family val="3"/>
        <charset val="134"/>
        <scheme val="minor"/>
      </rPr>
      <t>N</t>
    </r>
    <phoneticPr fontId="1" type="noConversion"/>
  </si>
</sst>
</file>

<file path=xl/styles.xml><?xml version="1.0" encoding="utf-8"?>
<styleSheet xmlns="http://schemas.openxmlformats.org/spreadsheetml/2006/main">
  <numFmts count="3">
    <numFmt numFmtId="176" formatCode="0_ "/>
    <numFmt numFmtId="177" formatCode="0.00_ "/>
    <numFmt numFmtId="178" formatCode="0.0_ 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vertAlign val="subscript"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6"/>
  <sheetViews>
    <sheetView topLeftCell="A71" workbookViewId="0">
      <selection activeCell="R47" sqref="R47"/>
    </sheetView>
  </sheetViews>
  <sheetFormatPr defaultRowHeight="13.5"/>
  <sheetData>
    <row r="1" spans="1:19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1</v>
      </c>
      <c r="D2">
        <v>-89</v>
      </c>
      <c r="E2">
        <v>-26</v>
      </c>
      <c r="F2">
        <v>19999</v>
      </c>
      <c r="G2">
        <v>-63</v>
      </c>
      <c r="H2">
        <v>-47</v>
      </c>
      <c r="I2">
        <v>65</v>
      </c>
      <c r="J2">
        <v>64</v>
      </c>
      <c r="K2">
        <v>52</v>
      </c>
      <c r="L2">
        <v>75</v>
      </c>
      <c r="M2">
        <v>42</v>
      </c>
      <c r="N2">
        <v>46</v>
      </c>
      <c r="O2">
        <v>-64</v>
      </c>
      <c r="P2">
        <v>6</v>
      </c>
      <c r="Q2">
        <v>-27</v>
      </c>
    </row>
    <row r="3" spans="1:19">
      <c r="A3">
        <v>2</v>
      </c>
      <c r="D3">
        <v>1</v>
      </c>
      <c r="E3">
        <v>-3</v>
      </c>
      <c r="F3">
        <v>-5</v>
      </c>
      <c r="G3">
        <v>0</v>
      </c>
      <c r="H3">
        <v>0</v>
      </c>
      <c r="I3">
        <v>0</v>
      </c>
      <c r="J3">
        <v>-1</v>
      </c>
      <c r="K3">
        <v>0</v>
      </c>
      <c r="L3">
        <v>-2</v>
      </c>
      <c r="M3">
        <v>-1</v>
      </c>
      <c r="N3">
        <v>0</v>
      </c>
      <c r="O3">
        <v>0</v>
      </c>
      <c r="P3">
        <v>0</v>
      </c>
      <c r="Q3">
        <v>0</v>
      </c>
    </row>
    <row r="4" spans="1:19">
      <c r="A4">
        <v>3</v>
      </c>
      <c r="D4">
        <v>-1</v>
      </c>
      <c r="E4">
        <v>0</v>
      </c>
      <c r="F4">
        <v>0</v>
      </c>
      <c r="G4">
        <v>0</v>
      </c>
      <c r="H4">
        <v>-1</v>
      </c>
      <c r="I4">
        <v>-1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9">
      <c r="A5">
        <v>4</v>
      </c>
      <c r="D5">
        <v>343</v>
      </c>
      <c r="E5">
        <v>300</v>
      </c>
      <c r="F5">
        <v>240</v>
      </c>
      <c r="G5">
        <v>192</v>
      </c>
      <c r="H5">
        <v>133</v>
      </c>
      <c r="I5">
        <v>-294</v>
      </c>
      <c r="J5">
        <v>-242</v>
      </c>
      <c r="K5">
        <v>-190</v>
      </c>
      <c r="L5">
        <v>-139</v>
      </c>
      <c r="M5">
        <v>-88</v>
      </c>
      <c r="N5">
        <v>-254</v>
      </c>
      <c r="O5">
        <v>73</v>
      </c>
      <c r="P5">
        <v>-23</v>
      </c>
      <c r="Q5">
        <v>-374</v>
      </c>
    </row>
    <row r="6" spans="1:19">
      <c r="A6">
        <v>5</v>
      </c>
      <c r="D6">
        <v>342</v>
      </c>
      <c r="E6">
        <v>299</v>
      </c>
      <c r="F6">
        <v>241</v>
      </c>
      <c r="G6">
        <v>191</v>
      </c>
      <c r="H6">
        <v>133</v>
      </c>
      <c r="I6">
        <v>-291</v>
      </c>
      <c r="J6">
        <v>-237</v>
      </c>
      <c r="K6">
        <v>-188</v>
      </c>
      <c r="L6">
        <v>-140</v>
      </c>
      <c r="M6">
        <v>-84</v>
      </c>
      <c r="N6">
        <v>-253</v>
      </c>
      <c r="O6">
        <v>75</v>
      </c>
      <c r="P6">
        <v>-23</v>
      </c>
      <c r="Q6">
        <v>-346</v>
      </c>
    </row>
    <row r="7" spans="1:19">
      <c r="A7">
        <v>6</v>
      </c>
      <c r="D7">
        <v>344</v>
      </c>
      <c r="E7">
        <v>300</v>
      </c>
      <c r="F7">
        <v>242</v>
      </c>
      <c r="G7">
        <v>195</v>
      </c>
      <c r="H7">
        <v>135</v>
      </c>
      <c r="I7">
        <v>-291</v>
      </c>
      <c r="J7">
        <v>-237</v>
      </c>
      <c r="K7">
        <v>-187</v>
      </c>
      <c r="L7">
        <v>-139</v>
      </c>
      <c r="M7">
        <v>-84</v>
      </c>
      <c r="N7">
        <v>-253</v>
      </c>
      <c r="O7">
        <v>75</v>
      </c>
      <c r="P7">
        <v>-23</v>
      </c>
      <c r="Q7">
        <v>-345</v>
      </c>
    </row>
    <row r="8" spans="1:19">
      <c r="A8">
        <v>7</v>
      </c>
      <c r="D8">
        <v>-2</v>
      </c>
      <c r="E8">
        <v>-1</v>
      </c>
      <c r="F8">
        <v>-1</v>
      </c>
      <c r="G8">
        <v>-1</v>
      </c>
      <c r="H8">
        <v>0</v>
      </c>
      <c r="I8">
        <v>1</v>
      </c>
      <c r="J8">
        <v>0</v>
      </c>
      <c r="K8">
        <v>0</v>
      </c>
      <c r="L8">
        <v>-1</v>
      </c>
      <c r="M8">
        <v>0</v>
      </c>
      <c r="N8">
        <v>-1</v>
      </c>
      <c r="O8">
        <v>-1</v>
      </c>
      <c r="P8">
        <v>0</v>
      </c>
      <c r="Q8">
        <v>-1</v>
      </c>
    </row>
    <row r="9" spans="1:19">
      <c r="A9">
        <v>8</v>
      </c>
      <c r="D9">
        <v>339</v>
      </c>
      <c r="E9">
        <v>289</v>
      </c>
      <c r="F9">
        <v>234</v>
      </c>
      <c r="G9">
        <v>182</v>
      </c>
      <c r="H9">
        <v>134</v>
      </c>
      <c r="I9">
        <v>-293</v>
      </c>
      <c r="J9">
        <v>-240</v>
      </c>
      <c r="K9">
        <v>-189</v>
      </c>
      <c r="L9">
        <v>-140</v>
      </c>
      <c r="M9">
        <v>-87</v>
      </c>
      <c r="N9">
        <v>-232</v>
      </c>
      <c r="O9">
        <v>39</v>
      </c>
      <c r="P9">
        <v>-50</v>
      </c>
      <c r="Q9">
        <v>-341</v>
      </c>
    </row>
    <row r="10" spans="1:19">
      <c r="A10">
        <v>9</v>
      </c>
      <c r="D10">
        <v>0</v>
      </c>
      <c r="E10">
        <v>1</v>
      </c>
      <c r="F10">
        <v>-1</v>
      </c>
      <c r="G10">
        <v>1</v>
      </c>
      <c r="H10">
        <v>1</v>
      </c>
      <c r="I10">
        <v>0</v>
      </c>
      <c r="J10">
        <v>1</v>
      </c>
      <c r="K10">
        <v>-2</v>
      </c>
      <c r="L10">
        <v>2</v>
      </c>
      <c r="M10">
        <v>5</v>
      </c>
      <c r="N10">
        <v>0</v>
      </c>
      <c r="O10">
        <v>0</v>
      </c>
      <c r="P10">
        <v>0</v>
      </c>
      <c r="Q10">
        <v>0</v>
      </c>
    </row>
    <row r="11" spans="1:19">
      <c r="A11">
        <v>10</v>
      </c>
      <c r="D11">
        <v>339</v>
      </c>
      <c r="E11">
        <v>290</v>
      </c>
      <c r="F11">
        <v>238</v>
      </c>
      <c r="G11">
        <v>187</v>
      </c>
      <c r="H11">
        <v>136</v>
      </c>
      <c r="I11">
        <v>-294</v>
      </c>
      <c r="J11">
        <v>-241</v>
      </c>
      <c r="K11">
        <v>-191</v>
      </c>
      <c r="L11">
        <v>-150</v>
      </c>
      <c r="M11">
        <v>-96</v>
      </c>
      <c r="N11">
        <v>-232</v>
      </c>
      <c r="O11">
        <v>40</v>
      </c>
      <c r="P11">
        <v>-47</v>
      </c>
      <c r="Q11">
        <v>-342</v>
      </c>
    </row>
    <row r="12" spans="1:19">
      <c r="A12">
        <v>11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9">
      <c r="A13">
        <v>12</v>
      </c>
      <c r="D13">
        <v>367</v>
      </c>
      <c r="E13">
        <v>328</v>
      </c>
      <c r="F13">
        <v>289</v>
      </c>
      <c r="G13">
        <v>250</v>
      </c>
      <c r="H13">
        <v>209</v>
      </c>
      <c r="I13">
        <v>-324</v>
      </c>
      <c r="J13">
        <v>-283</v>
      </c>
      <c r="K13">
        <v>-244</v>
      </c>
      <c r="L13">
        <v>-207</v>
      </c>
      <c r="M13">
        <v>-168</v>
      </c>
      <c r="N13">
        <v>-223</v>
      </c>
      <c r="O13">
        <v>66</v>
      </c>
      <c r="P13">
        <v>-41</v>
      </c>
      <c r="Q13">
        <v>-354</v>
      </c>
    </row>
    <row r="14" spans="1:19">
      <c r="A14">
        <v>13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-1</v>
      </c>
      <c r="L14">
        <v>-1</v>
      </c>
      <c r="M14">
        <v>1</v>
      </c>
      <c r="N14">
        <v>0</v>
      </c>
      <c r="O14">
        <v>1</v>
      </c>
      <c r="P14">
        <v>0</v>
      </c>
      <c r="Q14">
        <v>0</v>
      </c>
    </row>
    <row r="15" spans="1:19">
      <c r="A15">
        <v>14</v>
      </c>
      <c r="D15">
        <v>365</v>
      </c>
      <c r="E15">
        <v>327</v>
      </c>
      <c r="F15">
        <v>288</v>
      </c>
      <c r="G15">
        <v>242</v>
      </c>
      <c r="H15">
        <v>204</v>
      </c>
      <c r="I15">
        <v>-320</v>
      </c>
      <c r="J15">
        <v>-278</v>
      </c>
      <c r="K15">
        <v>-239</v>
      </c>
      <c r="L15">
        <v>-202</v>
      </c>
      <c r="M15">
        <v>-163</v>
      </c>
      <c r="N15">
        <v>-228</v>
      </c>
      <c r="O15">
        <v>77</v>
      </c>
      <c r="P15">
        <v>-34</v>
      </c>
      <c r="Q15">
        <v>-362</v>
      </c>
    </row>
    <row r="16" spans="1:19">
      <c r="A16">
        <v>15</v>
      </c>
      <c r="D16">
        <v>0</v>
      </c>
      <c r="E16">
        <v>-1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-1</v>
      </c>
      <c r="O16">
        <v>1</v>
      </c>
      <c r="P16">
        <v>0</v>
      </c>
      <c r="Q16">
        <v>-1</v>
      </c>
    </row>
    <row r="17" spans="1:17">
      <c r="A17">
        <v>16</v>
      </c>
      <c r="D17">
        <v>187</v>
      </c>
      <c r="E17">
        <v>231</v>
      </c>
      <c r="F17">
        <v>275</v>
      </c>
      <c r="G17">
        <v>318</v>
      </c>
      <c r="H17">
        <v>354</v>
      </c>
      <c r="I17">
        <v>-182</v>
      </c>
      <c r="J17">
        <v>-230</v>
      </c>
      <c r="K17">
        <v>-272</v>
      </c>
      <c r="L17">
        <v>-316</v>
      </c>
      <c r="M17">
        <v>-356</v>
      </c>
      <c r="N17">
        <v>1</v>
      </c>
      <c r="O17">
        <v>3</v>
      </c>
      <c r="P17">
        <v>3</v>
      </c>
      <c r="Q17">
        <v>1</v>
      </c>
    </row>
    <row r="18" spans="1:17">
      <c r="A18">
        <v>17</v>
      </c>
      <c r="D18">
        <v>1</v>
      </c>
      <c r="E18">
        <v>1</v>
      </c>
      <c r="F18">
        <v>1</v>
      </c>
      <c r="G18">
        <v>1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</row>
    <row r="19" spans="1:17">
      <c r="A19">
        <v>18</v>
      </c>
      <c r="D19">
        <v>187</v>
      </c>
      <c r="E19">
        <v>231</v>
      </c>
      <c r="F19">
        <v>276</v>
      </c>
      <c r="G19">
        <v>319</v>
      </c>
      <c r="H19">
        <v>357</v>
      </c>
      <c r="I19">
        <v>-187</v>
      </c>
      <c r="J19">
        <v>-231</v>
      </c>
      <c r="K19">
        <v>-274</v>
      </c>
      <c r="L19">
        <v>-321</v>
      </c>
      <c r="M19">
        <v>-355</v>
      </c>
      <c r="N19">
        <v>0</v>
      </c>
      <c r="O19">
        <v>0</v>
      </c>
      <c r="P19">
        <v>1</v>
      </c>
      <c r="Q19">
        <v>0</v>
      </c>
    </row>
    <row r="20" spans="1:17">
      <c r="A20">
        <v>19</v>
      </c>
      <c r="D20">
        <v>0</v>
      </c>
      <c r="E20">
        <v>-3</v>
      </c>
      <c r="F20">
        <v>4</v>
      </c>
      <c r="G20">
        <v>-2</v>
      </c>
      <c r="H20">
        <v>-1</v>
      </c>
      <c r="I20">
        <v>0</v>
      </c>
      <c r="J20">
        <v>0</v>
      </c>
      <c r="K20">
        <v>0</v>
      </c>
      <c r="L20">
        <v>-1</v>
      </c>
      <c r="M20">
        <v>-1</v>
      </c>
      <c r="N20">
        <v>0</v>
      </c>
      <c r="O20">
        <v>0</v>
      </c>
      <c r="P20">
        <v>0</v>
      </c>
      <c r="Q20">
        <v>-1</v>
      </c>
    </row>
    <row r="21" spans="1:17">
      <c r="A21">
        <v>20</v>
      </c>
      <c r="D21">
        <v>1</v>
      </c>
      <c r="E21">
        <v>0</v>
      </c>
      <c r="F21">
        <v>0</v>
      </c>
      <c r="G21">
        <v>1</v>
      </c>
      <c r="H21">
        <v>1</v>
      </c>
      <c r="I21">
        <v>-1</v>
      </c>
      <c r="J21">
        <v>0</v>
      </c>
      <c r="K21">
        <v>0</v>
      </c>
      <c r="L21">
        <v>0</v>
      </c>
      <c r="M21">
        <v>0</v>
      </c>
      <c r="N21">
        <v>-1</v>
      </c>
      <c r="O21">
        <v>0</v>
      </c>
      <c r="P21">
        <v>0</v>
      </c>
      <c r="Q21">
        <v>0</v>
      </c>
    </row>
    <row r="22" spans="1:17">
      <c r="A22">
        <v>21</v>
      </c>
      <c r="D22">
        <v>-189</v>
      </c>
      <c r="E22">
        <v>-233</v>
      </c>
      <c r="F22">
        <v>-281</v>
      </c>
      <c r="G22">
        <v>-320</v>
      </c>
      <c r="H22">
        <v>-357</v>
      </c>
      <c r="I22">
        <v>188</v>
      </c>
      <c r="J22">
        <v>232</v>
      </c>
      <c r="K22">
        <v>276</v>
      </c>
      <c r="L22">
        <v>320</v>
      </c>
      <c r="M22">
        <v>362</v>
      </c>
      <c r="N22">
        <v>-1</v>
      </c>
      <c r="O22">
        <v>0</v>
      </c>
      <c r="P22">
        <v>0</v>
      </c>
      <c r="Q22">
        <v>3</v>
      </c>
    </row>
    <row r="23" spans="1:17">
      <c r="A23">
        <v>22</v>
      </c>
      <c r="D23">
        <v>0</v>
      </c>
      <c r="E23">
        <v>0</v>
      </c>
      <c r="F23">
        <v>1</v>
      </c>
      <c r="G23">
        <v>1</v>
      </c>
      <c r="H23">
        <v>0</v>
      </c>
      <c r="I23">
        <v>-1</v>
      </c>
      <c r="J23">
        <v>0</v>
      </c>
      <c r="K23">
        <v>-1</v>
      </c>
      <c r="L23">
        <v>0</v>
      </c>
      <c r="M23">
        <v>-1</v>
      </c>
      <c r="N23">
        <v>0</v>
      </c>
      <c r="O23">
        <v>0</v>
      </c>
      <c r="P23">
        <v>-1</v>
      </c>
      <c r="Q23">
        <v>0</v>
      </c>
    </row>
    <row r="24" spans="1:17">
      <c r="A24">
        <v>23</v>
      </c>
      <c r="D24">
        <v>-307</v>
      </c>
      <c r="E24">
        <v>-232</v>
      </c>
      <c r="F24">
        <v>-154</v>
      </c>
      <c r="G24">
        <v>-77</v>
      </c>
      <c r="H24">
        <v>-2</v>
      </c>
      <c r="I24">
        <v>253</v>
      </c>
      <c r="J24">
        <v>176</v>
      </c>
      <c r="K24">
        <v>98</v>
      </c>
      <c r="L24">
        <v>23</v>
      </c>
      <c r="M24">
        <v>-53</v>
      </c>
      <c r="N24">
        <v>218</v>
      </c>
      <c r="O24">
        <v>169</v>
      </c>
      <c r="P24">
        <v>115</v>
      </c>
      <c r="Q24">
        <v>170</v>
      </c>
    </row>
    <row r="25" spans="1:17">
      <c r="A25">
        <v>24</v>
      </c>
      <c r="D25">
        <v>1</v>
      </c>
      <c r="E25">
        <v>-1</v>
      </c>
      <c r="F25">
        <v>-1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</row>
    <row r="26" spans="1:17">
      <c r="A26">
        <v>25</v>
      </c>
      <c r="D26">
        <v>-293</v>
      </c>
      <c r="E26">
        <v>-212</v>
      </c>
      <c r="F26">
        <v>-129</v>
      </c>
      <c r="G26">
        <v>-46</v>
      </c>
      <c r="H26">
        <v>34</v>
      </c>
      <c r="I26">
        <v>236</v>
      </c>
      <c r="J26">
        <v>155</v>
      </c>
      <c r="K26">
        <v>73</v>
      </c>
      <c r="L26">
        <v>-10</v>
      </c>
      <c r="M26">
        <v>-89</v>
      </c>
      <c r="N26">
        <v>223</v>
      </c>
      <c r="O26">
        <v>182</v>
      </c>
      <c r="P26">
        <v>119</v>
      </c>
      <c r="Q26">
        <v>152</v>
      </c>
    </row>
    <row r="27" spans="1:17">
      <c r="A27">
        <v>26</v>
      </c>
      <c r="D27">
        <v>0</v>
      </c>
      <c r="E27">
        <v>-1</v>
      </c>
      <c r="F27">
        <v>0</v>
      </c>
      <c r="G27">
        <v>0</v>
      </c>
      <c r="H27">
        <v>-1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27</v>
      </c>
      <c r="D28">
        <v>-344</v>
      </c>
      <c r="E28">
        <v>-296</v>
      </c>
      <c r="F28">
        <v>-243</v>
      </c>
      <c r="G28">
        <v>-190</v>
      </c>
      <c r="H28">
        <v>-136</v>
      </c>
      <c r="I28">
        <v>296</v>
      </c>
      <c r="J28">
        <v>244</v>
      </c>
      <c r="K28">
        <v>192</v>
      </c>
      <c r="L28">
        <v>141</v>
      </c>
      <c r="M28">
        <v>90</v>
      </c>
      <c r="N28">
        <v>201</v>
      </c>
      <c r="O28">
        <v>74</v>
      </c>
      <c r="P28">
        <v>88</v>
      </c>
      <c r="Q28">
        <v>223</v>
      </c>
    </row>
    <row r="29" spans="1:17">
      <c r="A29">
        <v>28</v>
      </c>
      <c r="D29">
        <v>-1</v>
      </c>
      <c r="E29">
        <v>1</v>
      </c>
      <c r="F29">
        <v>-2</v>
      </c>
      <c r="G29">
        <v>1</v>
      </c>
      <c r="H29">
        <v>0</v>
      </c>
      <c r="I29">
        <v>-3</v>
      </c>
      <c r="J29">
        <v>-2</v>
      </c>
      <c r="K29">
        <v>-3</v>
      </c>
      <c r="L29">
        <v>-2</v>
      </c>
      <c r="M29">
        <v>-3</v>
      </c>
      <c r="N29">
        <v>-3</v>
      </c>
      <c r="O29">
        <v>4</v>
      </c>
      <c r="P29">
        <v>2</v>
      </c>
      <c r="Q29">
        <v>-4</v>
      </c>
    </row>
    <row r="30" spans="1:17">
      <c r="A30">
        <v>29</v>
      </c>
      <c r="D30">
        <v>0</v>
      </c>
      <c r="E30">
        <v>0</v>
      </c>
      <c r="F30">
        <v>-1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30</v>
      </c>
      <c r="D31">
        <v>-342</v>
      </c>
      <c r="E31">
        <v>-295</v>
      </c>
      <c r="F31">
        <v>-242</v>
      </c>
      <c r="G31">
        <v>-189</v>
      </c>
      <c r="H31">
        <v>-136</v>
      </c>
      <c r="I31">
        <v>299</v>
      </c>
      <c r="J31">
        <v>245</v>
      </c>
      <c r="K31">
        <v>194</v>
      </c>
      <c r="L31">
        <v>143</v>
      </c>
      <c r="M31">
        <v>91</v>
      </c>
      <c r="N31">
        <v>187</v>
      </c>
      <c r="O31">
        <v>63</v>
      </c>
      <c r="P31">
        <v>103</v>
      </c>
      <c r="Q31">
        <v>233</v>
      </c>
    </row>
    <row r="35" spans="1:16">
      <c r="A35" t="s">
        <v>46</v>
      </c>
    </row>
    <row r="36" spans="1:16">
      <c r="B36" t="s">
        <v>19</v>
      </c>
    </row>
    <row r="37" spans="1:16">
      <c r="C37">
        <v>-2</v>
      </c>
      <c r="D37">
        <v>-1</v>
      </c>
      <c r="E37">
        <v>-1</v>
      </c>
      <c r="F37">
        <v>-1</v>
      </c>
      <c r="G37">
        <v>0</v>
      </c>
      <c r="H37">
        <v>1</v>
      </c>
      <c r="I37">
        <v>0</v>
      </c>
      <c r="J37">
        <v>0</v>
      </c>
      <c r="K37">
        <v>-1</v>
      </c>
      <c r="L37">
        <v>0</v>
      </c>
      <c r="M37">
        <v>-1</v>
      </c>
      <c r="N37">
        <v>-1</v>
      </c>
      <c r="O37">
        <v>0</v>
      </c>
      <c r="P37">
        <v>-1</v>
      </c>
    </row>
    <row r="38" spans="1:16">
      <c r="C38">
        <v>339</v>
      </c>
      <c r="D38">
        <v>289</v>
      </c>
      <c r="E38">
        <v>234</v>
      </c>
      <c r="F38">
        <v>182</v>
      </c>
      <c r="G38">
        <v>134</v>
      </c>
      <c r="H38">
        <v>-293</v>
      </c>
      <c r="I38">
        <v>-240</v>
      </c>
      <c r="J38">
        <v>-189</v>
      </c>
      <c r="K38">
        <v>-140</v>
      </c>
      <c r="L38">
        <v>-87</v>
      </c>
      <c r="M38">
        <v>-232</v>
      </c>
      <c r="N38">
        <v>39</v>
      </c>
      <c r="O38">
        <v>-50</v>
      </c>
      <c r="P38">
        <v>-341</v>
      </c>
    </row>
    <row r="39" spans="1:16">
      <c r="C39">
        <v>0</v>
      </c>
      <c r="D39">
        <v>1</v>
      </c>
      <c r="E39">
        <v>-1</v>
      </c>
      <c r="F39">
        <v>1</v>
      </c>
      <c r="G39">
        <v>1</v>
      </c>
      <c r="H39">
        <v>0</v>
      </c>
      <c r="I39">
        <v>1</v>
      </c>
      <c r="J39">
        <v>-2</v>
      </c>
      <c r="K39">
        <v>2</v>
      </c>
      <c r="L39">
        <v>5</v>
      </c>
      <c r="M39">
        <v>0</v>
      </c>
      <c r="N39">
        <v>0</v>
      </c>
      <c r="O39">
        <v>0</v>
      </c>
      <c r="P39">
        <v>0</v>
      </c>
    </row>
    <row r="40" spans="1:16">
      <c r="C40">
        <v>339</v>
      </c>
      <c r="D40">
        <v>290</v>
      </c>
      <c r="E40">
        <v>238</v>
      </c>
      <c r="F40">
        <v>187</v>
      </c>
      <c r="G40">
        <v>136</v>
      </c>
      <c r="H40">
        <v>-294</v>
      </c>
      <c r="I40">
        <v>-241</v>
      </c>
      <c r="J40">
        <v>-191</v>
      </c>
      <c r="K40">
        <v>-150</v>
      </c>
      <c r="L40">
        <v>-96</v>
      </c>
      <c r="M40">
        <v>-232</v>
      </c>
      <c r="N40">
        <v>40</v>
      </c>
      <c r="O40">
        <v>-47</v>
      </c>
      <c r="P40">
        <v>-342</v>
      </c>
    </row>
    <row r="43" spans="1:16"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C44">
        <v>367</v>
      </c>
      <c r="D44">
        <v>328</v>
      </c>
      <c r="E44">
        <v>289</v>
      </c>
      <c r="F44">
        <v>250</v>
      </c>
      <c r="G44">
        <v>209</v>
      </c>
      <c r="H44">
        <v>-324</v>
      </c>
      <c r="I44">
        <v>-283</v>
      </c>
      <c r="J44">
        <v>-244</v>
      </c>
      <c r="K44">
        <v>-207</v>
      </c>
      <c r="L44">
        <v>-168</v>
      </c>
      <c r="M44">
        <v>-223</v>
      </c>
      <c r="N44">
        <v>66</v>
      </c>
      <c r="O44">
        <v>-41</v>
      </c>
      <c r="P44">
        <v>-354</v>
      </c>
    </row>
    <row r="45" spans="1:16"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-1</v>
      </c>
      <c r="K45">
        <v>-1</v>
      </c>
      <c r="L45">
        <v>1</v>
      </c>
      <c r="M45">
        <v>0</v>
      </c>
      <c r="N45">
        <v>1</v>
      </c>
      <c r="O45">
        <v>0</v>
      </c>
      <c r="P45">
        <v>0</v>
      </c>
    </row>
    <row r="46" spans="1:16">
      <c r="C46">
        <v>365</v>
      </c>
      <c r="D46">
        <v>327</v>
      </c>
      <c r="E46">
        <v>288</v>
      </c>
      <c r="F46">
        <v>242</v>
      </c>
      <c r="G46">
        <v>204</v>
      </c>
      <c r="H46">
        <v>-320</v>
      </c>
      <c r="I46">
        <v>-278</v>
      </c>
      <c r="J46">
        <v>-239</v>
      </c>
      <c r="K46">
        <v>-202</v>
      </c>
      <c r="L46">
        <v>-163</v>
      </c>
      <c r="M46">
        <v>-228</v>
      </c>
      <c r="N46">
        <v>77</v>
      </c>
      <c r="O46">
        <v>-34</v>
      </c>
      <c r="P46">
        <v>-362</v>
      </c>
    </row>
    <row r="49" spans="2:16">
      <c r="C49">
        <v>0</v>
      </c>
      <c r="D49">
        <v>-1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1</v>
      </c>
    </row>
    <row r="50" spans="2:16">
      <c r="C50">
        <v>187</v>
      </c>
      <c r="D50">
        <v>231</v>
      </c>
      <c r="E50">
        <v>275</v>
      </c>
      <c r="F50">
        <v>318</v>
      </c>
      <c r="G50">
        <v>354</v>
      </c>
      <c r="H50">
        <v>-182</v>
      </c>
      <c r="I50">
        <v>-230</v>
      </c>
      <c r="J50">
        <v>-272</v>
      </c>
      <c r="K50">
        <v>-316</v>
      </c>
      <c r="L50">
        <v>-356</v>
      </c>
    </row>
    <row r="51" spans="2:16">
      <c r="C51">
        <v>1</v>
      </c>
      <c r="D51">
        <v>1</v>
      </c>
      <c r="E51">
        <v>1</v>
      </c>
      <c r="F51">
        <v>1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</row>
    <row r="52" spans="2:16">
      <c r="C52">
        <v>187</v>
      </c>
      <c r="D52">
        <v>231</v>
      </c>
      <c r="E52">
        <v>276</v>
      </c>
      <c r="F52">
        <v>319</v>
      </c>
      <c r="G52">
        <v>357</v>
      </c>
      <c r="H52">
        <v>-187</v>
      </c>
      <c r="I52">
        <v>-231</v>
      </c>
      <c r="J52">
        <v>-274</v>
      </c>
      <c r="K52">
        <v>-321</v>
      </c>
      <c r="L52">
        <v>-355</v>
      </c>
    </row>
    <row r="54" spans="2:16">
      <c r="B54" t="s">
        <v>20</v>
      </c>
    </row>
    <row r="55" spans="2:16">
      <c r="C55">
        <v>1</v>
      </c>
      <c r="D55">
        <v>0</v>
      </c>
      <c r="E55">
        <v>0</v>
      </c>
      <c r="F55">
        <v>1</v>
      </c>
      <c r="G55">
        <v>1</v>
      </c>
      <c r="H55">
        <v>-1</v>
      </c>
      <c r="I55">
        <v>0</v>
      </c>
      <c r="J55">
        <v>0</v>
      </c>
      <c r="K55">
        <v>0</v>
      </c>
      <c r="L55">
        <v>0</v>
      </c>
    </row>
    <row r="56" spans="2:16">
      <c r="C56">
        <v>-189</v>
      </c>
      <c r="D56">
        <v>-233</v>
      </c>
      <c r="E56">
        <v>-281</v>
      </c>
      <c r="F56">
        <v>-320</v>
      </c>
      <c r="G56">
        <v>-357</v>
      </c>
      <c r="H56">
        <v>188</v>
      </c>
      <c r="I56">
        <v>232</v>
      </c>
      <c r="J56">
        <v>276</v>
      </c>
      <c r="K56">
        <v>320</v>
      </c>
      <c r="L56">
        <v>362</v>
      </c>
    </row>
    <row r="58" spans="2:16">
      <c r="C58">
        <v>0</v>
      </c>
      <c r="D58">
        <v>0</v>
      </c>
      <c r="E58">
        <v>1</v>
      </c>
      <c r="F58">
        <v>1</v>
      </c>
      <c r="G58">
        <v>0</v>
      </c>
      <c r="H58">
        <v>-1</v>
      </c>
      <c r="I58">
        <v>0</v>
      </c>
      <c r="J58">
        <v>-1</v>
      </c>
      <c r="K58">
        <v>0</v>
      </c>
      <c r="L58">
        <v>-1</v>
      </c>
      <c r="M58">
        <v>0</v>
      </c>
      <c r="N58">
        <v>0</v>
      </c>
      <c r="O58">
        <v>-1</v>
      </c>
      <c r="P58">
        <v>0</v>
      </c>
    </row>
    <row r="59" spans="2:16">
      <c r="C59">
        <v>-307</v>
      </c>
      <c r="D59">
        <v>-232</v>
      </c>
      <c r="E59">
        <v>-154</v>
      </c>
      <c r="F59">
        <v>-77</v>
      </c>
      <c r="G59">
        <v>-2</v>
      </c>
      <c r="H59">
        <v>253</v>
      </c>
      <c r="I59">
        <v>176</v>
      </c>
      <c r="J59">
        <v>98</v>
      </c>
      <c r="K59">
        <v>23</v>
      </c>
      <c r="L59">
        <v>-53</v>
      </c>
      <c r="M59">
        <v>218</v>
      </c>
      <c r="N59">
        <v>169</v>
      </c>
      <c r="O59">
        <v>115</v>
      </c>
      <c r="P59">
        <v>170</v>
      </c>
    </row>
    <row r="60" spans="2:16">
      <c r="C60">
        <v>1</v>
      </c>
      <c r="D60">
        <v>-1</v>
      </c>
      <c r="E60">
        <v>-1</v>
      </c>
      <c r="F60">
        <v>0</v>
      </c>
      <c r="G60">
        <v>0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</row>
    <row r="61" spans="2:16">
      <c r="C61">
        <v>-293</v>
      </c>
      <c r="D61">
        <v>-212</v>
      </c>
      <c r="E61">
        <v>-129</v>
      </c>
      <c r="F61">
        <v>-46</v>
      </c>
      <c r="G61">
        <v>34</v>
      </c>
      <c r="H61">
        <v>236</v>
      </c>
      <c r="I61">
        <v>155</v>
      </c>
      <c r="J61">
        <v>73</v>
      </c>
      <c r="K61">
        <v>-10</v>
      </c>
      <c r="L61">
        <v>-89</v>
      </c>
      <c r="M61">
        <v>223</v>
      </c>
      <c r="N61">
        <v>182</v>
      </c>
      <c r="O61">
        <v>119</v>
      </c>
      <c r="P61">
        <v>152</v>
      </c>
    </row>
    <row r="63" spans="2:16">
      <c r="C63">
        <v>0</v>
      </c>
      <c r="D63">
        <v>-1</v>
      </c>
      <c r="E63">
        <v>0</v>
      </c>
      <c r="F63">
        <v>0</v>
      </c>
      <c r="G63">
        <v>-1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2:16">
      <c r="C64">
        <v>-344</v>
      </c>
      <c r="D64">
        <v>-296</v>
      </c>
      <c r="E64">
        <v>-243</v>
      </c>
      <c r="F64">
        <v>-190</v>
      </c>
      <c r="G64">
        <v>-136</v>
      </c>
      <c r="H64">
        <v>296</v>
      </c>
      <c r="I64">
        <v>244</v>
      </c>
      <c r="J64">
        <v>192</v>
      </c>
      <c r="K64">
        <v>141</v>
      </c>
      <c r="L64">
        <v>90</v>
      </c>
      <c r="M64">
        <v>201</v>
      </c>
      <c r="N64">
        <v>74</v>
      </c>
      <c r="O64">
        <v>88</v>
      </c>
      <c r="P64">
        <v>223</v>
      </c>
    </row>
    <row r="65" spans="3:16">
      <c r="C65">
        <v>0</v>
      </c>
      <c r="D65">
        <v>0</v>
      </c>
      <c r="E65">
        <v>-1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3:16">
      <c r="C66">
        <v>-342</v>
      </c>
      <c r="D66">
        <v>-295</v>
      </c>
      <c r="E66">
        <v>-242</v>
      </c>
      <c r="F66">
        <v>-189</v>
      </c>
      <c r="G66">
        <v>-136</v>
      </c>
      <c r="H66">
        <v>299</v>
      </c>
      <c r="I66">
        <v>245</v>
      </c>
      <c r="J66">
        <v>194</v>
      </c>
      <c r="K66">
        <v>143</v>
      </c>
      <c r="L66">
        <v>91</v>
      </c>
      <c r="M66">
        <v>187</v>
      </c>
      <c r="N66">
        <v>63</v>
      </c>
      <c r="O66">
        <v>103</v>
      </c>
      <c r="P66">
        <v>233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8"/>
  <sheetViews>
    <sheetView tabSelected="1" workbookViewId="0">
      <selection activeCell="J78" sqref="J78"/>
    </sheetView>
  </sheetViews>
  <sheetFormatPr defaultRowHeight="13.5"/>
  <cols>
    <col min="4" max="4" width="10.625" bestFit="1" customWidth="1"/>
    <col min="5" max="8" width="9.5" bestFit="1" customWidth="1"/>
    <col min="9" max="13" width="9.125" bestFit="1" customWidth="1"/>
  </cols>
  <sheetData>
    <row r="1" spans="1:13">
      <c r="A1" t="s">
        <v>21</v>
      </c>
    </row>
    <row r="3" spans="1:13">
      <c r="B3" t="s">
        <v>49</v>
      </c>
      <c r="C3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C4" t="s">
        <v>48</v>
      </c>
      <c r="D4" s="4">
        <v>18.5</v>
      </c>
      <c r="E4" s="4">
        <v>15</v>
      </c>
      <c r="F4" s="4">
        <v>11.5</v>
      </c>
      <c r="G4" s="4">
        <v>8</v>
      </c>
      <c r="H4" s="4">
        <v>4.5</v>
      </c>
      <c r="I4" s="4">
        <v>18.5</v>
      </c>
      <c r="J4" s="4">
        <v>15</v>
      </c>
      <c r="K4" s="4">
        <v>11.5</v>
      </c>
      <c r="L4" s="4">
        <v>8</v>
      </c>
      <c r="M4" s="4">
        <v>4.5</v>
      </c>
    </row>
    <row r="5" spans="1:13">
      <c r="C5" t="s">
        <v>33</v>
      </c>
      <c r="D5">
        <v>1</v>
      </c>
      <c r="E5">
        <v>0</v>
      </c>
      <c r="F5">
        <v>0</v>
      </c>
      <c r="G5">
        <v>1</v>
      </c>
      <c r="H5">
        <v>1</v>
      </c>
      <c r="I5">
        <v>-1</v>
      </c>
      <c r="J5">
        <v>0</v>
      </c>
      <c r="K5">
        <v>0</v>
      </c>
      <c r="L5">
        <v>0</v>
      </c>
      <c r="M5">
        <v>0</v>
      </c>
    </row>
    <row r="6" spans="1:13">
      <c r="C6" t="s">
        <v>34</v>
      </c>
      <c r="D6">
        <v>-189</v>
      </c>
      <c r="E6">
        <v>-233</v>
      </c>
      <c r="F6">
        <v>-281</v>
      </c>
      <c r="G6">
        <v>-320</v>
      </c>
      <c r="H6">
        <v>-357</v>
      </c>
      <c r="I6">
        <v>188</v>
      </c>
      <c r="J6">
        <v>232</v>
      </c>
      <c r="K6">
        <v>278</v>
      </c>
      <c r="L6">
        <v>320</v>
      </c>
      <c r="M6">
        <v>362</v>
      </c>
    </row>
    <row r="7" spans="1:13">
      <c r="C7" t="s">
        <v>42</v>
      </c>
      <c r="D7">
        <f>D6-D5</f>
        <v>-190</v>
      </c>
      <c r="E7">
        <f t="shared" ref="E7:M7" si="0">E6-E5</f>
        <v>-233</v>
      </c>
      <c r="F7">
        <f t="shared" si="0"/>
        <v>-281</v>
      </c>
      <c r="G7">
        <f t="shared" si="0"/>
        <v>-321</v>
      </c>
      <c r="H7">
        <f t="shared" si="0"/>
        <v>-358</v>
      </c>
      <c r="I7">
        <f t="shared" si="0"/>
        <v>189</v>
      </c>
      <c r="J7">
        <f t="shared" si="0"/>
        <v>232</v>
      </c>
      <c r="K7">
        <f t="shared" si="0"/>
        <v>278</v>
      </c>
      <c r="L7">
        <f t="shared" si="0"/>
        <v>320</v>
      </c>
      <c r="M7">
        <f t="shared" si="0"/>
        <v>362</v>
      </c>
    </row>
    <row r="8" spans="1:13">
      <c r="C8" t="s">
        <v>43</v>
      </c>
      <c r="D8" s="3">
        <f>D7*0.078</f>
        <v>-14.82</v>
      </c>
      <c r="E8" s="3">
        <f t="shared" ref="E8:M8" si="1">E7*0.078</f>
        <v>-18.173999999999999</v>
      </c>
      <c r="F8" s="3">
        <f t="shared" si="1"/>
        <v>-21.917999999999999</v>
      </c>
      <c r="G8" s="3">
        <f t="shared" si="1"/>
        <v>-25.038</v>
      </c>
      <c r="H8" s="3">
        <f t="shared" si="1"/>
        <v>-27.923999999999999</v>
      </c>
      <c r="I8" s="3">
        <f t="shared" si="1"/>
        <v>14.741999999999999</v>
      </c>
      <c r="J8" s="3">
        <f t="shared" si="1"/>
        <v>18.096</v>
      </c>
      <c r="K8" s="3">
        <f t="shared" si="1"/>
        <v>21.684000000000001</v>
      </c>
      <c r="L8" s="3">
        <f t="shared" si="1"/>
        <v>24.96</v>
      </c>
      <c r="M8" s="3">
        <f t="shared" si="1"/>
        <v>28.236000000000001</v>
      </c>
    </row>
    <row r="9" spans="1:13" ht="16.5">
      <c r="C9" t="s">
        <v>53</v>
      </c>
      <c r="D9" s="3">
        <f>(D8+I8)/2*14.72*20.26</f>
        <v>-11.630860800000177</v>
      </c>
      <c r="E9" s="3">
        <f t="shared" ref="E9:H9" si="2">(E8+J8)/2*14.72*20.26</f>
        <v>-11.630860799999912</v>
      </c>
      <c r="F9" s="3">
        <f t="shared" si="2"/>
        <v>-34.892582399999739</v>
      </c>
      <c r="G9" s="3">
        <f t="shared" si="2"/>
        <v>-11.630860799999912</v>
      </c>
      <c r="H9" s="3">
        <f t="shared" si="2"/>
        <v>46.52344320000018</v>
      </c>
      <c r="I9" s="3"/>
      <c r="J9" s="3"/>
      <c r="K9" s="3"/>
      <c r="L9" s="3"/>
      <c r="M9" s="3"/>
    </row>
    <row r="10" spans="1:13">
      <c r="C10" t="s">
        <v>52</v>
      </c>
      <c r="D10" s="3">
        <f>(I8-D8)/12*20.26^2*0.01472</f>
        <v>14.884671647872002</v>
      </c>
      <c r="E10" s="3">
        <f t="shared" ref="E10:H10" si="3">(J8-E8)/12*20.26^2*0.01472</f>
        <v>18.262196085119999</v>
      </c>
      <c r="F10" s="3">
        <f t="shared" si="3"/>
        <v>21.953908842112007</v>
      </c>
      <c r="G10" s="3">
        <f t="shared" si="3"/>
        <v>25.174339119488003</v>
      </c>
      <c r="H10" s="3">
        <f t="shared" si="3"/>
        <v>28.276948776960005</v>
      </c>
      <c r="I10" s="3"/>
      <c r="J10" s="3"/>
      <c r="K10" s="3"/>
      <c r="L10" s="3"/>
      <c r="M10" s="3"/>
    </row>
    <row r="11" spans="1:13"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B12" t="s">
        <v>47</v>
      </c>
      <c r="C1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</row>
    <row r="13" spans="1:13">
      <c r="C13" t="s">
        <v>48</v>
      </c>
      <c r="D13" s="4">
        <v>18.5</v>
      </c>
      <c r="E13" s="4">
        <v>15</v>
      </c>
      <c r="F13" s="4">
        <v>11.5</v>
      </c>
      <c r="G13" s="4">
        <v>8</v>
      </c>
      <c r="H13" s="4">
        <v>4.5</v>
      </c>
      <c r="I13" s="4">
        <v>18.5</v>
      </c>
      <c r="J13" s="4">
        <v>15</v>
      </c>
      <c r="K13" s="4">
        <v>11.5</v>
      </c>
      <c r="L13" s="4">
        <v>8</v>
      </c>
      <c r="M13" s="4">
        <v>4.5</v>
      </c>
    </row>
    <row r="14" spans="1:13">
      <c r="C14" t="s">
        <v>43</v>
      </c>
      <c r="D14" s="3">
        <f>-600/14.72/20.26^2*(33.5-D13)*10</f>
        <v>-14.895525090853962</v>
      </c>
      <c r="E14" s="3">
        <f t="shared" ref="E14:H14" si="4">-600/14.72/20.26^2*(33.5-E13)*10</f>
        <v>-18.371147612053221</v>
      </c>
      <c r="F14" s="3">
        <f t="shared" si="4"/>
        <v>-21.846770133252477</v>
      </c>
      <c r="G14" s="3">
        <f t="shared" si="4"/>
        <v>-25.322392654451736</v>
      </c>
      <c r="H14" s="3">
        <f t="shared" si="4"/>
        <v>-28.798015175650992</v>
      </c>
      <c r="I14" s="3">
        <f t="shared" ref="I14:M14" si="5">600/14.72/20.26^2*(33.5-I13)*10</f>
        <v>14.895525090853962</v>
      </c>
      <c r="J14" s="3">
        <f t="shared" si="5"/>
        <v>18.371147612053221</v>
      </c>
      <c r="K14" s="3">
        <f t="shared" si="5"/>
        <v>21.846770133252477</v>
      </c>
      <c r="L14" s="3">
        <f t="shared" si="5"/>
        <v>25.322392654451736</v>
      </c>
      <c r="M14" s="3">
        <f t="shared" si="5"/>
        <v>28.798015175650992</v>
      </c>
    </row>
    <row r="15" spans="1:13" ht="16.5">
      <c r="C15" t="s">
        <v>53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/>
      <c r="J15" s="3"/>
      <c r="K15" s="3"/>
      <c r="L15" s="3"/>
      <c r="M15" s="3"/>
    </row>
    <row r="16" spans="1:13">
      <c r="C16" t="s">
        <v>52</v>
      </c>
      <c r="D16" s="3">
        <f>100*(33.5-D13)/100</f>
        <v>15</v>
      </c>
      <c r="E16" s="3">
        <f t="shared" ref="E16:H16" si="6">100*(33.5-E13)/100</f>
        <v>18.5</v>
      </c>
      <c r="F16" s="3">
        <f t="shared" si="6"/>
        <v>22</v>
      </c>
      <c r="G16" s="3">
        <f t="shared" si="6"/>
        <v>25.5</v>
      </c>
      <c r="H16" s="3">
        <f t="shared" si="6"/>
        <v>29</v>
      </c>
      <c r="I16" s="3"/>
      <c r="J16" s="3"/>
      <c r="K16" s="3"/>
      <c r="L16" s="3"/>
      <c r="M16" s="3"/>
    </row>
    <row r="17" spans="1:18"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8">
      <c r="B18" t="s">
        <v>50</v>
      </c>
      <c r="C18" t="s">
        <v>35</v>
      </c>
      <c r="D18" s="5">
        <f>ABS((D8-D14)/D14)</f>
        <v>5.0703208106664781E-3</v>
      </c>
      <c r="E18" s="5">
        <f>ABS((E8-E14)/E14)</f>
        <v>1.0731371616864807E-2</v>
      </c>
      <c r="F18" s="5">
        <f>ABS((F8-F14)/F14)</f>
        <v>3.2604300916365221E-3</v>
      </c>
      <c r="G18" s="5">
        <f>ABS((G8-G14)/G14)</f>
        <v>1.1230876099764569E-2</v>
      </c>
      <c r="H18" s="5">
        <f>ABS((H8-H14)/H14)</f>
        <v>3.0349840790068788E-2</v>
      </c>
      <c r="I18" s="5">
        <f>ABS((I8-I14)/I14)</f>
        <v>1.0306792806399892E-2</v>
      </c>
      <c r="J18" s="5">
        <f>ABS((J8-J14)/J14)</f>
        <v>1.4977159721513424E-2</v>
      </c>
      <c r="K18" s="5">
        <f>ABS((K8-K14)/K14)</f>
        <v>7.4505353541815802E-3</v>
      </c>
      <c r="L18" s="5">
        <f>ABS((L8-L14)/L14)</f>
        <v>1.4311153744313566E-2</v>
      </c>
      <c r="M18" s="5">
        <f>ABS((M8-M14)/M14)</f>
        <v>1.9515760798896331E-2</v>
      </c>
    </row>
    <row r="19" spans="1:18">
      <c r="C19" t="s">
        <v>54</v>
      </c>
      <c r="D19" s="5">
        <f>ABS((D10-D16)/D16)</f>
        <v>7.6885568085331831E-3</v>
      </c>
      <c r="E19" s="5">
        <f>ABS((E10-E16)/E16)</f>
        <v>1.2854265669189223E-2</v>
      </c>
      <c r="F19" s="5">
        <f>ABS((F10-F16)/F16)</f>
        <v>2.0950526312724094E-3</v>
      </c>
      <c r="G19" s="5">
        <f>ABS((G10-G16)/G16)</f>
        <v>1.2771014922039086E-2</v>
      </c>
      <c r="H19" s="5">
        <f>ABS((H10-H16)/H16)</f>
        <v>2.4932800794482596E-2</v>
      </c>
    </row>
    <row r="20" spans="1:18"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8">
      <c r="A21" t="s">
        <v>40</v>
      </c>
    </row>
    <row r="23" spans="1:18">
      <c r="B23" t="s">
        <v>49</v>
      </c>
      <c r="C23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28</v>
      </c>
      <c r="J23" s="2" t="s">
        <v>29</v>
      </c>
      <c r="K23" s="2" t="s">
        <v>30</v>
      </c>
      <c r="L23" s="2" t="s">
        <v>31</v>
      </c>
      <c r="M23" s="2" t="s">
        <v>32</v>
      </c>
      <c r="N23" s="2" t="s">
        <v>36</v>
      </c>
      <c r="O23" s="2" t="s">
        <v>37</v>
      </c>
      <c r="P23" s="2" t="s">
        <v>38</v>
      </c>
      <c r="Q23" s="2" t="s">
        <v>39</v>
      </c>
      <c r="R23" s="2" t="s">
        <v>51</v>
      </c>
    </row>
    <row r="24" spans="1:18">
      <c r="C24" t="s">
        <v>33</v>
      </c>
      <c r="D24">
        <v>0</v>
      </c>
      <c r="E24">
        <v>0</v>
      </c>
      <c r="F24">
        <v>1</v>
      </c>
      <c r="G24">
        <v>1</v>
      </c>
      <c r="H24">
        <v>0</v>
      </c>
      <c r="I24">
        <v>-1</v>
      </c>
      <c r="J24">
        <v>0</v>
      </c>
      <c r="K24">
        <v>-1</v>
      </c>
      <c r="L24">
        <v>0</v>
      </c>
      <c r="M24">
        <v>-1</v>
      </c>
      <c r="N24">
        <v>0</v>
      </c>
      <c r="O24">
        <v>0</v>
      </c>
      <c r="P24">
        <v>-1</v>
      </c>
      <c r="Q24">
        <v>0</v>
      </c>
    </row>
    <row r="25" spans="1:18">
      <c r="C25" t="s">
        <v>34</v>
      </c>
      <c r="D25">
        <v>-307</v>
      </c>
      <c r="E25">
        <v>-232</v>
      </c>
      <c r="F25">
        <v>-154</v>
      </c>
      <c r="G25">
        <v>-77</v>
      </c>
      <c r="H25">
        <v>-2</v>
      </c>
      <c r="I25">
        <v>253</v>
      </c>
      <c r="J25">
        <v>176</v>
      </c>
      <c r="K25">
        <v>98</v>
      </c>
      <c r="L25">
        <v>23</v>
      </c>
      <c r="M25">
        <v>-53</v>
      </c>
      <c r="N25">
        <v>218</v>
      </c>
      <c r="O25">
        <v>169</v>
      </c>
      <c r="P25">
        <v>115</v>
      </c>
      <c r="Q25">
        <v>170</v>
      </c>
    </row>
    <row r="26" spans="1:18" ht="16.5">
      <c r="C26" t="s">
        <v>44</v>
      </c>
      <c r="D26">
        <f>D25-D24</f>
        <v>-307</v>
      </c>
      <c r="E26">
        <f t="shared" ref="E26:Q26" si="7">E25-E24</f>
        <v>-232</v>
      </c>
      <c r="F26">
        <f t="shared" si="7"/>
        <v>-155</v>
      </c>
      <c r="G26">
        <f t="shared" si="7"/>
        <v>-78</v>
      </c>
      <c r="H26">
        <f t="shared" si="7"/>
        <v>-2</v>
      </c>
      <c r="I26">
        <f t="shared" si="7"/>
        <v>254</v>
      </c>
      <c r="J26">
        <f t="shared" si="7"/>
        <v>176</v>
      </c>
      <c r="K26">
        <f t="shared" si="7"/>
        <v>99</v>
      </c>
      <c r="L26">
        <f t="shared" si="7"/>
        <v>23</v>
      </c>
      <c r="M26">
        <f t="shared" si="7"/>
        <v>-52</v>
      </c>
      <c r="N26">
        <f t="shared" si="7"/>
        <v>218</v>
      </c>
      <c r="O26">
        <f t="shared" si="7"/>
        <v>169</v>
      </c>
      <c r="P26">
        <f t="shared" si="7"/>
        <v>116</v>
      </c>
      <c r="Q26">
        <f t="shared" si="7"/>
        <v>170</v>
      </c>
    </row>
    <row r="27" spans="1:18">
      <c r="C27" t="s">
        <v>33</v>
      </c>
      <c r="D27">
        <v>1</v>
      </c>
      <c r="E27">
        <v>-1</v>
      </c>
      <c r="F27">
        <v>-1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</row>
    <row r="28" spans="1:18">
      <c r="C28" t="s">
        <v>34</v>
      </c>
      <c r="D28">
        <v>-293</v>
      </c>
      <c r="E28">
        <v>-212</v>
      </c>
      <c r="F28">
        <v>-129</v>
      </c>
      <c r="G28">
        <v>-46</v>
      </c>
      <c r="H28">
        <v>34</v>
      </c>
      <c r="I28">
        <v>236</v>
      </c>
      <c r="J28">
        <v>155</v>
      </c>
      <c r="K28">
        <v>73</v>
      </c>
      <c r="L28">
        <v>-10</v>
      </c>
      <c r="M28">
        <v>-89</v>
      </c>
      <c r="N28">
        <v>223</v>
      </c>
      <c r="O28">
        <v>182</v>
      </c>
      <c r="P28">
        <v>119</v>
      </c>
      <c r="Q28">
        <v>152</v>
      </c>
    </row>
    <row r="29" spans="1:18" ht="16.5">
      <c r="C29" t="s">
        <v>45</v>
      </c>
      <c r="D29">
        <f>D28-D27</f>
        <v>-294</v>
      </c>
      <c r="E29">
        <f t="shared" ref="E29:Q29" si="8">E28-E27</f>
        <v>-211</v>
      </c>
      <c r="F29">
        <f t="shared" si="8"/>
        <v>-128</v>
      </c>
      <c r="G29">
        <f t="shared" si="8"/>
        <v>-46</v>
      </c>
      <c r="H29">
        <f t="shared" si="8"/>
        <v>34</v>
      </c>
      <c r="I29">
        <f t="shared" si="8"/>
        <v>235</v>
      </c>
      <c r="J29">
        <f t="shared" si="8"/>
        <v>154</v>
      </c>
      <c r="K29">
        <f t="shared" si="8"/>
        <v>72</v>
      </c>
      <c r="L29">
        <f t="shared" si="8"/>
        <v>-10</v>
      </c>
      <c r="M29">
        <f t="shared" si="8"/>
        <v>-89</v>
      </c>
      <c r="N29">
        <f t="shared" si="8"/>
        <v>223</v>
      </c>
      <c r="O29">
        <f t="shared" si="8"/>
        <v>181</v>
      </c>
      <c r="P29">
        <f t="shared" si="8"/>
        <v>119</v>
      </c>
      <c r="Q29">
        <f t="shared" si="8"/>
        <v>152</v>
      </c>
    </row>
    <row r="30" spans="1:18">
      <c r="C30" t="s">
        <v>42</v>
      </c>
      <c r="D30" s="1">
        <f>D26/2+D29/2</f>
        <v>-300.5</v>
      </c>
      <c r="E30" s="1">
        <f t="shared" ref="E30:Q30" si="9">E26/2+E29/2</f>
        <v>-221.5</v>
      </c>
      <c r="F30" s="1">
        <f t="shared" si="9"/>
        <v>-141.5</v>
      </c>
      <c r="G30" s="1">
        <f t="shared" si="9"/>
        <v>-62</v>
      </c>
      <c r="H30" s="1">
        <f t="shared" si="9"/>
        <v>16</v>
      </c>
      <c r="I30" s="1">
        <f t="shared" si="9"/>
        <v>244.5</v>
      </c>
      <c r="J30" s="1">
        <f t="shared" si="9"/>
        <v>165</v>
      </c>
      <c r="K30" s="1">
        <f t="shared" si="9"/>
        <v>85.5</v>
      </c>
      <c r="L30" s="1">
        <f t="shared" si="9"/>
        <v>6.5</v>
      </c>
      <c r="M30" s="1">
        <f t="shared" si="9"/>
        <v>-70.5</v>
      </c>
      <c r="N30" s="1">
        <f t="shared" si="9"/>
        <v>220.5</v>
      </c>
      <c r="O30" s="1">
        <f t="shared" si="9"/>
        <v>175</v>
      </c>
      <c r="P30" s="1">
        <f t="shared" si="9"/>
        <v>117.5</v>
      </c>
      <c r="Q30" s="1">
        <f t="shared" si="9"/>
        <v>161</v>
      </c>
      <c r="R30">
        <v>169</v>
      </c>
    </row>
    <row r="31" spans="1:18">
      <c r="C31" t="s">
        <v>43</v>
      </c>
      <c r="D31" s="3">
        <f>D30*78/1000</f>
        <v>-23.439</v>
      </c>
      <c r="E31" s="3">
        <f t="shared" ref="E31:M31" si="10">E30*78/1000</f>
        <v>-17.277000000000001</v>
      </c>
      <c r="F31" s="3">
        <f t="shared" si="10"/>
        <v>-11.037000000000001</v>
      </c>
      <c r="G31" s="3">
        <f t="shared" si="10"/>
        <v>-4.8360000000000003</v>
      </c>
      <c r="H31" s="3">
        <f t="shared" si="10"/>
        <v>1.248</v>
      </c>
      <c r="I31" s="3">
        <f t="shared" si="10"/>
        <v>19.071000000000002</v>
      </c>
      <c r="J31" s="3">
        <f t="shared" si="10"/>
        <v>12.87</v>
      </c>
      <c r="K31" s="3">
        <f t="shared" si="10"/>
        <v>6.6689999999999996</v>
      </c>
      <c r="L31" s="3">
        <f t="shared" si="10"/>
        <v>0.50700000000000001</v>
      </c>
      <c r="M31" s="3">
        <f t="shared" si="10"/>
        <v>-5.4989999999999997</v>
      </c>
      <c r="N31" s="3">
        <f>N30*0.206</f>
        <v>45.422999999999995</v>
      </c>
      <c r="O31" s="3">
        <f t="shared" ref="O31:Q31" si="11">O30*0.206</f>
        <v>36.049999999999997</v>
      </c>
      <c r="P31" s="3">
        <f t="shared" si="11"/>
        <v>24.204999999999998</v>
      </c>
      <c r="Q31" s="3">
        <f t="shared" si="11"/>
        <v>33.165999999999997</v>
      </c>
      <c r="R31">
        <v>34.71</v>
      </c>
    </row>
    <row r="32" spans="1:18" ht="16.5">
      <c r="C32" t="s">
        <v>53</v>
      </c>
      <c r="D32" s="3">
        <f>(D31+I31)/2*14.72*20.26</f>
        <v>-651.32820479999987</v>
      </c>
      <c r="E32" s="3">
        <f t="shared" ref="E32:H32" si="12">(E31+J31)/2*14.72*20.26</f>
        <v>-657.1436352000004</v>
      </c>
      <c r="F32" s="3">
        <f t="shared" si="12"/>
        <v>-651.32820480000032</v>
      </c>
      <c r="G32" s="3">
        <f t="shared" si="12"/>
        <v>-645.51277440000013</v>
      </c>
      <c r="H32" s="3">
        <f t="shared" si="12"/>
        <v>-633.88191359999996</v>
      </c>
      <c r="I32" s="3"/>
      <c r="J32" s="3"/>
      <c r="K32" s="3"/>
      <c r="L32" s="3"/>
      <c r="M32" s="3"/>
      <c r="N32" s="3"/>
      <c r="O32" s="3"/>
      <c r="P32" s="3"/>
      <c r="Q32" s="3"/>
      <c r="R32">
        <f>R31*25</f>
        <v>867.75</v>
      </c>
    </row>
    <row r="33" spans="1:18">
      <c r="C33" t="s">
        <v>52</v>
      </c>
      <c r="D33" s="3">
        <f>(I31-D31)/12*20.26^2*0.01472</f>
        <v>21.404079282560005</v>
      </c>
      <c r="E33" s="3">
        <f t="shared" ref="E33:H33" si="13">(J31-E31)/12*20.26^2*0.01472</f>
        <v>15.179223197632002</v>
      </c>
      <c r="F33" s="3">
        <f t="shared" si="13"/>
        <v>8.9150935727360014</v>
      </c>
      <c r="G33" s="3">
        <f t="shared" si="13"/>
        <v>2.6902374878080004</v>
      </c>
      <c r="H33" s="3">
        <f t="shared" si="13"/>
        <v>-3.3971612072320005</v>
      </c>
      <c r="I33" s="3"/>
      <c r="J33" s="3"/>
      <c r="K33" s="3"/>
      <c r="L33" s="3"/>
      <c r="M33" s="3"/>
      <c r="N33" s="3"/>
      <c r="O33" s="3"/>
      <c r="P33" s="3"/>
      <c r="Q33" s="3"/>
    </row>
    <row r="35" spans="1:18">
      <c r="B35" t="s">
        <v>47</v>
      </c>
      <c r="C35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27</v>
      </c>
      <c r="I35" s="2" t="s">
        <v>28</v>
      </c>
      <c r="J35" s="2" t="s">
        <v>29</v>
      </c>
      <c r="K35" s="2" t="s">
        <v>30</v>
      </c>
      <c r="L35" s="2" t="s">
        <v>31</v>
      </c>
      <c r="M35" s="2" t="s">
        <v>32</v>
      </c>
    </row>
    <row r="36" spans="1:18">
      <c r="C36" t="s">
        <v>48</v>
      </c>
      <c r="D36" s="4">
        <v>18.5</v>
      </c>
      <c r="E36" s="4">
        <v>15</v>
      </c>
      <c r="F36" s="4">
        <v>11.5</v>
      </c>
      <c r="G36" s="4">
        <v>8</v>
      </c>
      <c r="H36" s="4">
        <v>4.5</v>
      </c>
      <c r="I36" s="4">
        <v>18.5</v>
      </c>
      <c r="J36" s="4">
        <v>15</v>
      </c>
      <c r="K36" s="4">
        <v>11.5</v>
      </c>
      <c r="L36" s="4">
        <v>8</v>
      </c>
      <c r="M36" s="4">
        <v>4.5</v>
      </c>
    </row>
    <row r="37" spans="1:18">
      <c r="C37" t="s">
        <v>43</v>
      </c>
      <c r="D37" s="3">
        <f>-667.5/20.26/14.72-6*(187.5*D36-1285)/14.72/20.26^2*10</f>
        <v>-23.923628370795093</v>
      </c>
      <c r="E37" s="3">
        <f t="shared" ref="E37:H37" si="14">-667.5/20.26/14.72-6*(187.5*E36-1285)/14.72/20.26^2*10</f>
        <v>-17.406836143546485</v>
      </c>
      <c r="F37" s="3">
        <f t="shared" si="14"/>
        <v>-10.890043916297877</v>
      </c>
      <c r="G37" s="3">
        <f t="shared" si="14"/>
        <v>-4.373251689049269</v>
      </c>
      <c r="H37" s="3">
        <f t="shared" si="14"/>
        <v>2.1435405381993391</v>
      </c>
      <c r="I37" s="3">
        <f>-667.5/20.26/14.72+6*(187.5*I36-1285)/14.72/20.26^2*10</f>
        <v>19.447175518741361</v>
      </c>
      <c r="J37" s="3">
        <f t="shared" ref="J37:M37" si="15">-667.5/20.26/14.72+6*(187.5*J36-1285)/14.72/20.26^2*10</f>
        <v>12.930383291492749</v>
      </c>
      <c r="K37" s="3">
        <f t="shared" si="15"/>
        <v>6.4135910642441409</v>
      </c>
      <c r="L37" s="3">
        <f t="shared" si="15"/>
        <v>-0.10320116300446669</v>
      </c>
      <c r="M37" s="3">
        <f t="shared" si="15"/>
        <v>-6.6199933902530752</v>
      </c>
    </row>
    <row r="38" spans="1:18" ht="16.5">
      <c r="C38" t="s">
        <v>53</v>
      </c>
      <c r="D38" s="3">
        <v>-667.5</v>
      </c>
      <c r="E38" s="3">
        <v>-667.5</v>
      </c>
      <c r="F38" s="3">
        <v>-667.5</v>
      </c>
      <c r="G38" s="3">
        <v>-667.5</v>
      </c>
      <c r="H38" s="3">
        <v>-667.5</v>
      </c>
      <c r="I38" s="3"/>
      <c r="J38" s="3"/>
      <c r="K38" s="3"/>
      <c r="L38" s="3"/>
      <c r="M38" s="3"/>
    </row>
    <row r="39" spans="1:18">
      <c r="C39" t="s">
        <v>52</v>
      </c>
      <c r="D39" s="3">
        <f>(187.5*D36-1285)/100</f>
        <v>21.837499999999999</v>
      </c>
      <c r="E39" s="3">
        <f t="shared" ref="E39:H39" si="16">(187.5*E36-1285)/100</f>
        <v>15.275</v>
      </c>
      <c r="F39" s="3">
        <f t="shared" si="16"/>
        <v>8.7125000000000004</v>
      </c>
      <c r="G39" s="3">
        <f t="shared" si="16"/>
        <v>2.15</v>
      </c>
      <c r="H39" s="3">
        <f t="shared" si="16"/>
        <v>-4.4124999999999996</v>
      </c>
      <c r="I39" s="3"/>
      <c r="J39" s="3"/>
      <c r="K39" s="3"/>
      <c r="L39" s="3"/>
      <c r="M39" s="3"/>
    </row>
    <row r="41" spans="1:18">
      <c r="B41" t="s">
        <v>50</v>
      </c>
      <c r="C41" t="s">
        <v>35</v>
      </c>
      <c r="D41" s="5">
        <f>ABS((D31-D37)/D37)</f>
        <v>2.0257310608732995E-2</v>
      </c>
      <c r="E41" s="5">
        <f t="shared" ref="E41:M41" si="17">ABS((E31-E37)/E37)</f>
        <v>7.4589168574796015E-3</v>
      </c>
      <c r="F41" s="5">
        <f t="shared" si="17"/>
        <v>1.3494535451982106E-2</v>
      </c>
      <c r="G41" s="5">
        <f t="shared" si="17"/>
        <v>0.10581332698263506</v>
      </c>
      <c r="H41" s="5">
        <f t="shared" si="17"/>
        <v>0.41778567852587917</v>
      </c>
      <c r="I41" s="5">
        <f t="shared" si="17"/>
        <v>1.9343452645801264E-2</v>
      </c>
      <c r="J41" s="5">
        <f t="shared" si="17"/>
        <v>4.6698763781022334E-3</v>
      </c>
      <c r="K41" s="5">
        <f t="shared" si="17"/>
        <v>3.9823077773038416E-2</v>
      </c>
      <c r="L41" s="5">
        <f t="shared" si="17"/>
        <v>5.9127353339812299</v>
      </c>
      <c r="M41" s="5">
        <f t="shared" si="17"/>
        <v>0.16933451805307939</v>
      </c>
    </row>
    <row r="42" spans="1:18" ht="16.5">
      <c r="C42" t="s">
        <v>55</v>
      </c>
      <c r="D42" s="5">
        <f>ABS((D32-D38)/D38)</f>
        <v>2.4227408539326041E-2</v>
      </c>
      <c r="E42" s="5">
        <f t="shared" ref="E42:H42" si="18">ABS((E32-E38)/E38)</f>
        <v>1.5515153258426362E-2</v>
      </c>
      <c r="F42" s="5">
        <f t="shared" si="18"/>
        <v>2.4227408539325361E-2</v>
      </c>
      <c r="G42" s="5">
        <f t="shared" si="18"/>
        <v>3.2939663820224528E-2</v>
      </c>
      <c r="H42" s="5">
        <f t="shared" si="18"/>
        <v>5.0364174382022529E-2</v>
      </c>
      <c r="I42" s="5"/>
      <c r="J42" s="5"/>
      <c r="K42" s="5"/>
      <c r="L42" s="5"/>
      <c r="M42" s="5"/>
    </row>
    <row r="43" spans="1:18">
      <c r="C43" t="s">
        <v>54</v>
      </c>
      <c r="D43" s="5">
        <f>ABS((D33-D39)/D39)</f>
        <v>1.9847542870749562E-2</v>
      </c>
      <c r="E43" s="5">
        <f t="shared" ref="E43:H43" si="19">ABS((E33-E39)/E39)</f>
        <v>6.2701670944679917E-3</v>
      </c>
      <c r="F43" s="5">
        <f t="shared" si="19"/>
        <v>2.3253207774576883E-2</v>
      </c>
      <c r="G43" s="5">
        <f t="shared" si="19"/>
        <v>0.25127325014325608</v>
      </c>
      <c r="H43" s="5">
        <f t="shared" si="19"/>
        <v>0.23010510884260604</v>
      </c>
      <c r="I43" s="5"/>
      <c r="J43" s="5"/>
      <c r="K43" s="5"/>
      <c r="L43" s="5"/>
      <c r="M43" s="5"/>
    </row>
    <row r="46" spans="1:18">
      <c r="A46" t="s">
        <v>41</v>
      </c>
    </row>
    <row r="47" spans="1:18">
      <c r="C47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27</v>
      </c>
      <c r="I47" s="2" t="s">
        <v>28</v>
      </c>
      <c r="J47" s="2" t="s">
        <v>29</v>
      </c>
      <c r="K47" s="2" t="s">
        <v>30</v>
      </c>
      <c r="L47" s="2" t="s">
        <v>31</v>
      </c>
      <c r="M47" s="2" t="s">
        <v>32</v>
      </c>
      <c r="N47" s="2" t="s">
        <v>36</v>
      </c>
      <c r="O47" s="2" t="s">
        <v>37</v>
      </c>
      <c r="P47" s="2" t="s">
        <v>38</v>
      </c>
      <c r="Q47" s="2" t="s">
        <v>39</v>
      </c>
      <c r="R47" s="2" t="s">
        <v>51</v>
      </c>
    </row>
    <row r="48" spans="1:18">
      <c r="C48" t="s">
        <v>48</v>
      </c>
      <c r="D48" s="4">
        <v>18.5</v>
      </c>
      <c r="E48" s="4">
        <v>15</v>
      </c>
      <c r="F48" s="4">
        <v>11.5</v>
      </c>
      <c r="G48" s="4">
        <v>8</v>
      </c>
      <c r="H48" s="4">
        <v>4.5</v>
      </c>
      <c r="I48" s="4">
        <v>18.5</v>
      </c>
      <c r="J48" s="4">
        <v>15</v>
      </c>
      <c r="K48" s="4">
        <v>11.5</v>
      </c>
      <c r="L48" s="4">
        <v>8</v>
      </c>
      <c r="M48" s="4">
        <v>4.5</v>
      </c>
      <c r="N48" s="2"/>
      <c r="O48" s="2"/>
      <c r="P48" s="2"/>
      <c r="Q48" s="2"/>
      <c r="R48" s="2"/>
    </row>
    <row r="49" spans="2:18">
      <c r="C49" t="s">
        <v>33</v>
      </c>
      <c r="D49">
        <v>0</v>
      </c>
      <c r="E49">
        <v>-1</v>
      </c>
      <c r="F49">
        <v>0</v>
      </c>
      <c r="G49">
        <v>0</v>
      </c>
      <c r="H49">
        <v>-1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2:18">
      <c r="C50" t="s">
        <v>34</v>
      </c>
      <c r="D50">
        <v>-344</v>
      </c>
      <c r="E50">
        <v>-296</v>
      </c>
      <c r="F50">
        <v>-243</v>
      </c>
      <c r="G50">
        <v>-190</v>
      </c>
      <c r="H50">
        <v>-136</v>
      </c>
      <c r="I50">
        <v>296</v>
      </c>
      <c r="J50">
        <v>244</v>
      </c>
      <c r="K50">
        <v>192</v>
      </c>
      <c r="L50">
        <v>141</v>
      </c>
      <c r="M50">
        <v>90</v>
      </c>
      <c r="N50">
        <v>201</v>
      </c>
      <c r="O50">
        <v>74</v>
      </c>
      <c r="P50">
        <v>88</v>
      </c>
      <c r="Q50">
        <v>223</v>
      </c>
    </row>
    <row r="51" spans="2:18" ht="16.5">
      <c r="C51" t="s">
        <v>44</v>
      </c>
      <c r="D51">
        <f>D50-D49</f>
        <v>-344</v>
      </c>
      <c r="E51">
        <f t="shared" ref="E51:Q51" si="20">E50-E49</f>
        <v>-295</v>
      </c>
      <c r="F51">
        <f t="shared" si="20"/>
        <v>-243</v>
      </c>
      <c r="G51">
        <f t="shared" si="20"/>
        <v>-190</v>
      </c>
      <c r="H51">
        <f t="shared" si="20"/>
        <v>-135</v>
      </c>
      <c r="I51">
        <f t="shared" si="20"/>
        <v>295</v>
      </c>
      <c r="J51">
        <f t="shared" si="20"/>
        <v>243</v>
      </c>
      <c r="K51">
        <f t="shared" si="20"/>
        <v>192</v>
      </c>
      <c r="L51">
        <f t="shared" si="20"/>
        <v>141</v>
      </c>
      <c r="M51">
        <f t="shared" si="20"/>
        <v>90</v>
      </c>
      <c r="N51">
        <f t="shared" si="20"/>
        <v>201</v>
      </c>
      <c r="O51">
        <f t="shared" si="20"/>
        <v>74</v>
      </c>
      <c r="P51">
        <f t="shared" si="20"/>
        <v>88</v>
      </c>
      <c r="Q51">
        <f t="shared" si="20"/>
        <v>223</v>
      </c>
    </row>
    <row r="52" spans="2:18">
      <c r="C52" t="s">
        <v>33</v>
      </c>
      <c r="D52">
        <v>0</v>
      </c>
      <c r="E52">
        <v>0</v>
      </c>
      <c r="F52">
        <v>-1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2:18">
      <c r="C53" t="s">
        <v>34</v>
      </c>
      <c r="D53">
        <v>-342</v>
      </c>
      <c r="E53">
        <v>-295</v>
      </c>
      <c r="F53">
        <v>-242</v>
      </c>
      <c r="G53">
        <v>-189</v>
      </c>
      <c r="H53">
        <v>-136</v>
      </c>
      <c r="I53">
        <v>299</v>
      </c>
      <c r="J53">
        <v>245</v>
      </c>
      <c r="K53">
        <v>194</v>
      </c>
      <c r="L53">
        <v>143</v>
      </c>
      <c r="M53">
        <v>91</v>
      </c>
      <c r="N53">
        <v>187</v>
      </c>
      <c r="O53">
        <v>63</v>
      </c>
      <c r="P53">
        <v>103</v>
      </c>
      <c r="Q53">
        <v>233</v>
      </c>
    </row>
    <row r="54" spans="2:18" ht="16.5">
      <c r="C54" t="s">
        <v>45</v>
      </c>
      <c r="D54">
        <f>D53-D52</f>
        <v>-342</v>
      </c>
      <c r="E54">
        <f t="shared" ref="E54:Q54" si="21">E53-E52</f>
        <v>-295</v>
      </c>
      <c r="F54">
        <f t="shared" si="21"/>
        <v>-241</v>
      </c>
      <c r="G54">
        <f t="shared" si="21"/>
        <v>-190</v>
      </c>
      <c r="H54">
        <f t="shared" si="21"/>
        <v>-137</v>
      </c>
      <c r="I54">
        <f t="shared" si="21"/>
        <v>299</v>
      </c>
      <c r="J54">
        <f t="shared" si="21"/>
        <v>245</v>
      </c>
      <c r="K54">
        <f t="shared" si="21"/>
        <v>194</v>
      </c>
      <c r="L54">
        <f t="shared" si="21"/>
        <v>143</v>
      </c>
      <c r="M54">
        <f t="shared" si="21"/>
        <v>91</v>
      </c>
      <c r="N54">
        <f t="shared" si="21"/>
        <v>187</v>
      </c>
      <c r="O54">
        <f t="shared" si="21"/>
        <v>63</v>
      </c>
      <c r="P54">
        <f t="shared" si="21"/>
        <v>103</v>
      </c>
      <c r="Q54">
        <f t="shared" si="21"/>
        <v>233</v>
      </c>
    </row>
    <row r="55" spans="2:18">
      <c r="C55" t="s">
        <v>42</v>
      </c>
      <c r="D55" s="1">
        <f>D51/2+D54/2</f>
        <v>-343</v>
      </c>
      <c r="E55" s="1">
        <f t="shared" ref="E55:Q55" si="22">E51/2+E54/2</f>
        <v>-295</v>
      </c>
      <c r="F55" s="1">
        <f t="shared" si="22"/>
        <v>-242</v>
      </c>
      <c r="G55" s="1">
        <f t="shared" si="22"/>
        <v>-190</v>
      </c>
      <c r="H55" s="1">
        <f t="shared" si="22"/>
        <v>-136</v>
      </c>
      <c r="I55" s="1">
        <f t="shared" si="22"/>
        <v>297</v>
      </c>
      <c r="J55" s="1">
        <f t="shared" si="22"/>
        <v>244</v>
      </c>
      <c r="K55" s="1">
        <f t="shared" si="22"/>
        <v>193</v>
      </c>
      <c r="L55" s="1">
        <f t="shared" si="22"/>
        <v>142</v>
      </c>
      <c r="M55" s="1">
        <f t="shared" si="22"/>
        <v>90.5</v>
      </c>
      <c r="N55" s="1">
        <f t="shared" si="22"/>
        <v>194</v>
      </c>
      <c r="O55" s="1">
        <f t="shared" si="22"/>
        <v>68.5</v>
      </c>
      <c r="P55" s="1">
        <f t="shared" si="22"/>
        <v>95.5</v>
      </c>
      <c r="Q55" s="1">
        <f t="shared" si="22"/>
        <v>228</v>
      </c>
      <c r="R55" s="1">
        <v>147</v>
      </c>
    </row>
    <row r="56" spans="2:18">
      <c r="C56" t="s">
        <v>43</v>
      </c>
      <c r="D56" s="3">
        <f>D55*78/1000</f>
        <v>-26.754000000000001</v>
      </c>
      <c r="E56" s="3">
        <f t="shared" ref="E56:M56" si="23">E55*78/1000</f>
        <v>-23.01</v>
      </c>
      <c r="F56" s="3">
        <f t="shared" si="23"/>
        <v>-18.876000000000001</v>
      </c>
      <c r="G56" s="3">
        <f t="shared" si="23"/>
        <v>-14.82</v>
      </c>
      <c r="H56" s="3">
        <f t="shared" si="23"/>
        <v>-10.608000000000001</v>
      </c>
      <c r="I56" s="3">
        <f t="shared" si="23"/>
        <v>23.166</v>
      </c>
      <c r="J56" s="3">
        <f t="shared" si="23"/>
        <v>19.032</v>
      </c>
      <c r="K56" s="3">
        <f t="shared" si="23"/>
        <v>15.054</v>
      </c>
      <c r="L56" s="3">
        <f t="shared" si="23"/>
        <v>11.076000000000001</v>
      </c>
      <c r="M56" s="3">
        <f t="shared" si="23"/>
        <v>7.0590000000000002</v>
      </c>
      <c r="N56" s="3">
        <f>N55*0.206</f>
        <v>39.963999999999999</v>
      </c>
      <c r="O56" s="3">
        <f t="shared" ref="O56:Q56" si="24">O55*0.206</f>
        <v>14.110999999999999</v>
      </c>
      <c r="P56" s="3">
        <f t="shared" si="24"/>
        <v>19.672999999999998</v>
      </c>
      <c r="Q56" s="3">
        <f t="shared" si="24"/>
        <v>46.967999999999996</v>
      </c>
      <c r="R56">
        <v>30.18</v>
      </c>
    </row>
    <row r="57" spans="2:18" ht="16.5">
      <c r="C57" t="s">
        <v>53</v>
      </c>
      <c r="D57" s="3">
        <f>(D56+I56)/2*14.72*20.26</f>
        <v>-535.01959680000027</v>
      </c>
      <c r="E57" s="3">
        <f t="shared" ref="E57:H57" si="25">(E56+J56)/2*14.72*20.26</f>
        <v>-593.1739008000003</v>
      </c>
      <c r="F57" s="3">
        <f t="shared" si="25"/>
        <v>-569.9121792000002</v>
      </c>
      <c r="G57" s="3">
        <f t="shared" si="25"/>
        <v>-558.28131840000003</v>
      </c>
      <c r="H57" s="3">
        <f t="shared" si="25"/>
        <v>-529.20416640000019</v>
      </c>
      <c r="I57" s="3"/>
      <c r="J57" s="3"/>
      <c r="K57" s="3"/>
      <c r="L57" s="3"/>
      <c r="M57" s="3"/>
      <c r="N57" s="3"/>
      <c r="O57" s="3"/>
      <c r="P57" s="3"/>
      <c r="Q57" s="3"/>
      <c r="R57">
        <f>R56*25</f>
        <v>754.5</v>
      </c>
    </row>
    <row r="58" spans="2:18">
      <c r="C58" t="s">
        <v>52</v>
      </c>
      <c r="D58" s="3">
        <f>(I56-D56)/12*20.26^2*0.01472</f>
        <v>25.135065579520003</v>
      </c>
      <c r="E58" s="3">
        <f t="shared" ref="E58:H58" si="26">(J56-E56)/12*20.26^2*0.01472</f>
        <v>21.168438042752008</v>
      </c>
      <c r="F58" s="3">
        <f t="shared" si="26"/>
        <v>17.083989886080005</v>
      </c>
      <c r="G58" s="3">
        <f t="shared" si="26"/>
        <v>13.038815269376002</v>
      </c>
      <c r="H58" s="3">
        <f t="shared" si="26"/>
        <v>8.8954568027520011</v>
      </c>
      <c r="I58" s="3"/>
      <c r="J58" s="3"/>
      <c r="K58" s="3"/>
      <c r="L58" s="3"/>
      <c r="M58" s="3"/>
      <c r="N58" s="3"/>
      <c r="O58" s="3"/>
      <c r="P58" s="3"/>
      <c r="Q58" s="3"/>
    </row>
    <row r="60" spans="2:18">
      <c r="B60" t="s">
        <v>47</v>
      </c>
      <c r="C60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27</v>
      </c>
      <c r="I60" s="2" t="s">
        <v>28</v>
      </c>
      <c r="J60" s="2" t="s">
        <v>29</v>
      </c>
      <c r="K60" s="2" t="s">
        <v>30</v>
      </c>
      <c r="L60" s="2" t="s">
        <v>31</v>
      </c>
      <c r="M60" s="2" t="s">
        <v>32</v>
      </c>
      <c r="R60" s="2" t="s">
        <v>51</v>
      </c>
    </row>
    <row r="61" spans="2:18">
      <c r="C61" t="s">
        <v>48</v>
      </c>
      <c r="D61" s="4">
        <v>18.5</v>
      </c>
      <c r="E61" s="4">
        <v>15</v>
      </c>
      <c r="F61" s="4">
        <v>11.5</v>
      </c>
      <c r="G61" s="4">
        <v>8</v>
      </c>
      <c r="H61" s="4">
        <v>4.5</v>
      </c>
      <c r="I61" s="4">
        <v>18.5</v>
      </c>
      <c r="J61" s="4">
        <v>15</v>
      </c>
      <c r="K61" s="4">
        <v>11.5</v>
      </c>
      <c r="L61" s="4">
        <v>8</v>
      </c>
      <c r="M61" s="4">
        <v>4.5</v>
      </c>
    </row>
    <row r="62" spans="2:18">
      <c r="C62" t="s">
        <v>43</v>
      </c>
      <c r="D62">
        <f>-609/20.26/14.72-6*136/14.72/20.26^2*D61*10</f>
        <v>-27.026828008497787</v>
      </c>
      <c r="E62">
        <f t="shared" ref="E62:H62" si="27">-609/20.26/14.72-6*136/14.72/20.26^2*E61*10</f>
        <v>-22.299981379666796</v>
      </c>
      <c r="F62">
        <f t="shared" si="27"/>
        <v>-17.573134750835806</v>
      </c>
      <c r="G62">
        <f t="shared" si="27"/>
        <v>-12.846288122004818</v>
      </c>
      <c r="H62">
        <f t="shared" si="27"/>
        <v>-8.1194414931738272</v>
      </c>
      <c r="I62">
        <f>-609/20.26/14.72+6*136/14.72/20.26^2*I61*10</f>
        <v>22.942693496286964</v>
      </c>
      <c r="J62">
        <f t="shared" ref="J62:M62" si="28">-609/20.26/14.72+6*136/14.72/20.26^2*J61*10</f>
        <v>18.215846867455973</v>
      </c>
      <c r="K62">
        <f t="shared" si="28"/>
        <v>13.489000238624984</v>
      </c>
      <c r="L62">
        <f t="shared" si="28"/>
        <v>8.7621536097939945</v>
      </c>
      <c r="M62">
        <f t="shared" si="28"/>
        <v>4.0353069809630036</v>
      </c>
      <c r="R62">
        <f>32.5*33.5/550*400/25</f>
        <v>31.672727272727272</v>
      </c>
    </row>
    <row r="63" spans="2:18" ht="16.5">
      <c r="C63" t="s">
        <v>53</v>
      </c>
      <c r="D63">
        <v>-609</v>
      </c>
      <c r="E63">
        <v>-609</v>
      </c>
      <c r="F63">
        <v>-609</v>
      </c>
      <c r="G63">
        <v>-609</v>
      </c>
      <c r="H63">
        <v>-609</v>
      </c>
      <c r="R63">
        <f>R62*25</f>
        <v>791.81818181818176</v>
      </c>
    </row>
    <row r="64" spans="2:18">
      <c r="C64" t="s">
        <v>52</v>
      </c>
      <c r="D64">
        <f>136*D61/100</f>
        <v>25.16</v>
      </c>
      <c r="E64">
        <f t="shared" ref="E64:H64" si="29">136*E61/100</f>
        <v>20.399999999999999</v>
      </c>
      <c r="F64">
        <f t="shared" si="29"/>
        <v>15.64</v>
      </c>
      <c r="G64">
        <f t="shared" si="29"/>
        <v>10.88</v>
      </c>
      <c r="H64">
        <f t="shared" si="29"/>
        <v>6.12</v>
      </c>
    </row>
    <row r="66" spans="2:18">
      <c r="B66" t="s">
        <v>50</v>
      </c>
      <c r="C66" t="s">
        <v>35</v>
      </c>
      <c r="D66" s="5">
        <f>ABS((D56-D62)/D62)</f>
        <v>1.0094710648693342E-2</v>
      </c>
      <c r="E66" s="5">
        <f>ABS((E56-E62)/E62)</f>
        <v>3.1839426600624991E-2</v>
      </c>
      <c r="F66" s="5">
        <f>ABS((F56-F62)/F62)</f>
        <v>7.4139603869038187E-2</v>
      </c>
      <c r="G66" s="5">
        <f>ABS((G56-G62)/G62)</f>
        <v>0.15364063605379891</v>
      </c>
      <c r="H66" s="5">
        <f>ABS((H56-H62)/H62)</f>
        <v>0.30649380365858331</v>
      </c>
      <c r="I66" s="5">
        <f>ABS((I56-I62)/I62)</f>
        <v>9.733229611822887E-3</v>
      </c>
      <c r="J66" s="5">
        <f>ABS((J56-J62)/J62)</f>
        <v>4.4804567060900601E-2</v>
      </c>
      <c r="K66" s="5">
        <f>ABS((K56-K62)/K62)</f>
        <v>0.11602044137368528</v>
      </c>
      <c r="L66" s="5">
        <f>ABS((L56-L62)/L62)</f>
        <v>0.26407279457183658</v>
      </c>
      <c r="M66" s="5">
        <f>ABS((M56-M62)/M62)</f>
        <v>0.74930929252758094</v>
      </c>
      <c r="N66" s="5"/>
      <c r="O66" s="5"/>
      <c r="P66" s="5"/>
      <c r="Q66" s="5"/>
      <c r="R66" s="5">
        <f>ABS((R56-R62)/R62)</f>
        <v>4.7129735935706067E-2</v>
      </c>
    </row>
    <row r="67" spans="2:18" ht="16.5">
      <c r="C67" t="s">
        <v>55</v>
      </c>
      <c r="D67" s="5">
        <f>ABS((D57-D63)/D63)</f>
        <v>0.12147849458128034</v>
      </c>
      <c r="E67" s="5">
        <f t="shared" ref="E67:H67" si="30">ABS((E57-E63)/E63)</f>
        <v>2.5987026600984734E-2</v>
      </c>
      <c r="F67" s="5">
        <f t="shared" si="30"/>
        <v>6.4183613793103125E-2</v>
      </c>
      <c r="G67" s="5">
        <f t="shared" si="30"/>
        <v>8.328190738916251E-2</v>
      </c>
      <c r="H67" s="5">
        <f t="shared" si="30"/>
        <v>0.13102764137931003</v>
      </c>
      <c r="R67" s="5">
        <f>ABS((R57-R63)/R63)</f>
        <v>4.7129735935706012E-2</v>
      </c>
    </row>
    <row r="68" spans="2:18">
      <c r="C68" t="s">
        <v>54</v>
      </c>
      <c r="D68" s="5">
        <f>ABS((D58-D64)/D64)</f>
        <v>9.9103420031786561E-4</v>
      </c>
      <c r="E68" s="5">
        <f t="shared" ref="E68:H68" si="31">ABS((E58-E64)/E64)</f>
        <v>3.7668531507451454E-2</v>
      </c>
      <c r="F68" s="5">
        <f t="shared" si="31"/>
        <v>9.2326719058823795E-2</v>
      </c>
      <c r="G68" s="5">
        <f t="shared" si="31"/>
        <v>0.19842052108235303</v>
      </c>
      <c r="H68" s="5">
        <f t="shared" si="31"/>
        <v>0.45350601352156877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全部数据</vt:lpstr>
      <vt:lpstr>计算数据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2010-06-06T09:08:44Z</dcterms:modified>
</cp:coreProperties>
</file>