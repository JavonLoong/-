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0" windowHeight="7680" activeTab="4"/>
  </bookViews>
  <sheets>
    <sheet name="9-3" sheetId="1" r:id="rId1"/>
    <sheet name="9-4" sheetId="2" r:id="rId2"/>
    <sheet name="9-6" sheetId="3" r:id="rId3"/>
    <sheet name="9-11" sheetId="4" r:id="rId4"/>
    <sheet name="9-12" sheetId="5" r:id="rId5"/>
  </sheets>
  <calcPr calcId="144525"/>
</workbook>
</file>

<file path=xl/sharedStrings.xml><?xml version="1.0" encoding="utf-8"?>
<sst xmlns="http://schemas.openxmlformats.org/spreadsheetml/2006/main" count="56" uniqueCount="18">
  <si>
    <r>
      <rPr>
        <sz val="11"/>
        <color theme="1"/>
        <rFont val="宋体"/>
        <charset val="134"/>
      </rPr>
      <t>沿程损失</t>
    </r>
  </si>
  <si>
    <t>λ</t>
  </si>
  <si>
    <t>l</t>
  </si>
  <si>
    <t>d</t>
  </si>
  <si>
    <t>v</t>
  </si>
  <si>
    <t>Q</t>
  </si>
  <si>
    <t>局部损失</t>
  </si>
  <si>
    <t>ζ</t>
  </si>
  <si>
    <t>Re</t>
  </si>
  <si>
    <t>ks</t>
  </si>
  <si>
    <t>判别</t>
  </si>
  <si>
    <t>粗糙区</t>
  </si>
  <si>
    <r>
      <rPr>
        <sz val="11"/>
        <color theme="1"/>
        <rFont val="宋体"/>
        <charset val="134"/>
      </rPr>
      <t>局部损失</t>
    </r>
  </si>
  <si>
    <t>01</t>
  </si>
  <si>
    <t>总水头</t>
  </si>
  <si>
    <t>速度水头</t>
  </si>
  <si>
    <t>测压管水头</t>
  </si>
  <si>
    <t>水头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</si>
</sst>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3" fillId="2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17" fillId="28" borderId="5" applyNumberFormat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07777777777778"/>
          <c:y val="0.175121886941626"/>
          <c:w val="0.911444444444444"/>
          <c:h val="0.795888786401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'9-4'!$J$13</c:f>
              <c:strCache>
                <c:ptCount val="1"/>
                <c:pt idx="0">
                  <c:v>总水头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xVal>
            <c:numRef>
              <c:f>'9-4'!$I$14:$I$26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4.5</c:v>
                </c:pt>
                <c:pt idx="12">
                  <c:v>5</c:v>
                </c:pt>
              </c:numCache>
            </c:numRef>
          </c:xVal>
          <c:yVal>
            <c:numRef>
              <c:f>'9-4'!$J$14:$J$26</c:f>
              <c:numCache>
                <c:formatCode>General</c:formatCode>
                <c:ptCount val="13"/>
                <c:pt idx="0">
                  <c:v>64</c:v>
                </c:pt>
                <c:pt idx="1">
                  <c:v>55.894305308613</c:v>
                </c:pt>
                <c:pt idx="2">
                  <c:v>34.5616257158312</c:v>
                </c:pt>
                <c:pt idx="3">
                  <c:v>25.4427191880208</c:v>
                </c:pt>
                <c:pt idx="4">
                  <c:v>24.5121428464562</c:v>
                </c:pt>
                <c:pt idx="5">
                  <c:v>23.4360536407588</c:v>
                </c:pt>
                <c:pt idx="6">
                  <c:v>20.994506703462</c:v>
                </c:pt>
                <c:pt idx="7">
                  <c:v>20.1505151695817</c:v>
                </c:pt>
                <c:pt idx="8">
                  <c:v>17.7089682322849</c:v>
                </c:pt>
                <c:pt idx="9">
                  <c:v>16.8649766984045</c:v>
                </c:pt>
                <c:pt idx="10">
                  <c:v>14.8303542506572</c:v>
                </c:pt>
                <c:pt idx="11">
                  <c:v>6.13724145168946</c:v>
                </c:pt>
                <c:pt idx="12">
                  <c:v>4.10261900394215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"测压管水头"</c:f>
              <c:strCache>
                <c:ptCount val="1"/>
                <c:pt idx="0">
                  <c:v>测压管水头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elete val="1"/>
          </c:dLbls>
          <c:xVal>
            <c:numRef>
              <c:f>'9-4'!$I$14:$I$26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4.5</c:v>
                </c:pt>
                <c:pt idx="11">
                  <c:v>4.5</c:v>
                </c:pt>
                <c:pt idx="12">
                  <c:v>5</c:v>
                </c:pt>
              </c:numCache>
            </c:numRef>
          </c:xVal>
          <c:yVal>
            <c:numRef>
              <c:f>'9-4'!$L$14:$L$26</c:f>
              <c:numCache>
                <c:formatCode>General</c:formatCode>
                <c:ptCount val="13"/>
                <c:pt idx="0">
                  <c:v>64</c:v>
                </c:pt>
                <c:pt idx="1">
                  <c:v>39.6829159258389</c:v>
                </c:pt>
                <c:pt idx="2">
                  <c:v>18.3502363330572</c:v>
                </c:pt>
                <c:pt idx="3">
                  <c:v>24.4295073515974</c:v>
                </c:pt>
                <c:pt idx="4">
                  <c:v>23.4989310100329</c:v>
                </c:pt>
                <c:pt idx="5">
                  <c:v>19.3334536407588</c:v>
                </c:pt>
                <c:pt idx="6">
                  <c:v>16.891906703462</c:v>
                </c:pt>
                <c:pt idx="7">
                  <c:v>16.0479151695817</c:v>
                </c:pt>
                <c:pt idx="8">
                  <c:v>13.6063682322849</c:v>
                </c:pt>
                <c:pt idx="9">
                  <c:v>12.7623766984045</c:v>
                </c:pt>
                <c:pt idx="10">
                  <c:v>10.7277542506572</c:v>
                </c:pt>
                <c:pt idx="11">
                  <c:v>2.03464145168946</c:v>
                </c:pt>
                <c:pt idx="12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605140"/>
        <c:axId val="574419472"/>
      </c:scatterChart>
      <c:valAx>
        <c:axId val="902605140"/>
        <c:scaling>
          <c:orientation val="minMax"/>
          <c:max val="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419472"/>
        <c:crosses val="autoZero"/>
        <c:crossBetween val="midCat"/>
      </c:valAx>
      <c:valAx>
        <c:axId val="5744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6051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39236111111111"/>
          <c:y val="0.071155619976281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622300</xdr:colOff>
      <xdr:row>5</xdr:row>
      <xdr:rowOff>38735</xdr:rowOff>
    </xdr:from>
    <xdr:to>
      <xdr:col>6</xdr:col>
      <xdr:colOff>622300</xdr:colOff>
      <xdr:row>31</xdr:row>
      <xdr:rowOff>0</xdr:rowOff>
    </xdr:to>
    <xdr:graphicFrame>
      <xdr:nvGraphicFramePr>
        <xdr:cNvPr id="3" name="图表 2"/>
        <xdr:cNvGraphicFramePr/>
      </xdr:nvGraphicFramePr>
      <xdr:xfrm>
        <a:off x="622300" y="927735"/>
        <a:ext cx="4572000" cy="4584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B14" sqref="B14"/>
    </sheetView>
  </sheetViews>
  <sheetFormatPr defaultColWidth="9" defaultRowHeight="14" outlineLevelCol="6"/>
  <cols>
    <col min="1" max="1" width="12.8181818181818" style="1"/>
    <col min="2" max="4" width="9" style="1"/>
    <col min="5" max="5" width="12.8181818181818" style="1"/>
    <col min="6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s="1">
        <f>B2*(C2/D2)*((E2^2)/19.6)</f>
        <v>0.510562779754788</v>
      </c>
      <c r="B2" s="1">
        <v>0.03</v>
      </c>
      <c r="C2" s="1">
        <v>25</v>
      </c>
      <c r="D2" s="1">
        <v>0.15</v>
      </c>
      <c r="E2" s="1">
        <f>(4*G2)/(PI()*D2*D2)</f>
        <v>1.41471060526129</v>
      </c>
      <c r="G2" s="1">
        <v>0.025</v>
      </c>
    </row>
    <row r="3" spans="1:7">
      <c r="A3" s="1">
        <f>B3*(C3/D3)*((E3^2)/19.6)</f>
        <v>0.542055925810959</v>
      </c>
      <c r="B3" s="1">
        <v>0.032</v>
      </c>
      <c r="C3" s="1">
        <v>10</v>
      </c>
      <c r="D3" s="1">
        <v>0.125</v>
      </c>
      <c r="E3" s="1">
        <f>(4*G3)/(PI()*D3*D3)</f>
        <v>2.03718327157626</v>
      </c>
      <c r="G3" s="1">
        <v>0.025</v>
      </c>
    </row>
    <row r="4" spans="4:7">
      <c r="D4" s="1">
        <v>0.1</v>
      </c>
      <c r="E4" s="1">
        <f>(4*G4)/(PI()*D4*D4)</f>
        <v>3.18309886183791</v>
      </c>
      <c r="G4" s="1">
        <v>0.025</v>
      </c>
    </row>
    <row r="5" spans="7:7">
      <c r="G5" s="1">
        <v>0.025</v>
      </c>
    </row>
    <row r="6" spans="7:7">
      <c r="G6" s="1">
        <v>0.025</v>
      </c>
    </row>
    <row r="7" spans="7:7">
      <c r="G7" s="1">
        <v>0.025</v>
      </c>
    </row>
    <row r="8" spans="7:7">
      <c r="G8" s="1">
        <v>0.025</v>
      </c>
    </row>
    <row r="9" spans="1:7">
      <c r="A9" s="3" t="s">
        <v>6</v>
      </c>
      <c r="B9" s="3" t="s">
        <v>7</v>
      </c>
      <c r="E9" s="1" t="s">
        <v>4</v>
      </c>
      <c r="G9" s="1">
        <v>0.025</v>
      </c>
    </row>
    <row r="10" spans="1:7">
      <c r="A10" s="1">
        <f>B10*((E10^2)/19.6)</f>
        <v>0.0102112555950958</v>
      </c>
      <c r="B10" s="1">
        <v>0.1</v>
      </c>
      <c r="E10" s="1">
        <f>E2</f>
        <v>1.41471060526129</v>
      </c>
      <c r="G10" s="1">
        <v>0.025</v>
      </c>
    </row>
    <row r="11" spans="1:7">
      <c r="A11" s="1">
        <f>B11*((E11^2)/19.6)</f>
        <v>0.0317610894029859</v>
      </c>
      <c r="B11" s="1">
        <v>0.15</v>
      </c>
      <c r="E11" s="1">
        <f>E3</f>
        <v>2.03718327157626</v>
      </c>
      <c r="G11" s="1">
        <v>0.025</v>
      </c>
    </row>
    <row r="12" spans="1:7">
      <c r="A12" s="1">
        <f>B12*((E12^2)/19.6)</f>
        <v>0.0211740596019906</v>
      </c>
      <c r="B12" s="1">
        <v>0.1</v>
      </c>
      <c r="E12" s="1">
        <f>E3</f>
        <v>2.03718327157626</v>
      </c>
      <c r="G12" s="1">
        <v>0.025</v>
      </c>
    </row>
    <row r="13" spans="1:7">
      <c r="A13" s="1">
        <f>B13*((E13^2)/19.6)</f>
        <v>1.55083444350517</v>
      </c>
      <c r="B13" s="1">
        <v>3</v>
      </c>
      <c r="E13" s="1">
        <f>E4</f>
        <v>3.18309886183791</v>
      </c>
      <c r="G13" s="1">
        <v>0.025</v>
      </c>
    </row>
    <row r="14" spans="7:7">
      <c r="G14" s="1">
        <v>0.025</v>
      </c>
    </row>
    <row r="15" spans="7:7">
      <c r="G15" s="1">
        <v>0.025</v>
      </c>
    </row>
    <row r="16" spans="7:7">
      <c r="G16" s="1">
        <v>0.025</v>
      </c>
    </row>
    <row r="17" spans="7:7">
      <c r="G17" s="1">
        <v>0.025</v>
      </c>
    </row>
    <row r="18" spans="7:7">
      <c r="G18" s="1">
        <v>0.025</v>
      </c>
    </row>
    <row r="19" spans="7:7">
      <c r="G19" s="1">
        <v>0.025</v>
      </c>
    </row>
    <row r="20" spans="7:7">
      <c r="G20" s="1">
        <v>0.025</v>
      </c>
    </row>
    <row r="21" spans="1:7">
      <c r="A21" s="1">
        <f>SUM(A10:A13)+SUM(A2:A3)</f>
        <v>2.66659955367099</v>
      </c>
      <c r="G21" s="1">
        <v>0.025</v>
      </c>
    </row>
    <row r="22" spans="7:7">
      <c r="G22" s="1">
        <v>0.025</v>
      </c>
    </row>
    <row r="23" spans="7:7">
      <c r="G23" s="1">
        <v>0.025</v>
      </c>
    </row>
    <row r="24" spans="7:7">
      <c r="G24" s="1">
        <v>0.025</v>
      </c>
    </row>
    <row r="25" spans="7:7">
      <c r="G25" s="1">
        <v>0.025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workbookViewId="0">
      <selection activeCell="A1" sqref="$A1:$XFD1048576"/>
    </sheetView>
  </sheetViews>
  <sheetFormatPr defaultColWidth="9" defaultRowHeight="14"/>
  <cols>
    <col min="1" max="1" width="9" style="1"/>
    <col min="2" max="3" width="12.8181818181818" style="1"/>
    <col min="4" max="5" width="9" style="1"/>
    <col min="6" max="6" width="12.8181818181818" style="1"/>
    <col min="7" max="9" width="9" style="1"/>
    <col min="10" max="12" width="12.8181818181818" style="1"/>
    <col min="13" max="16384" width="9" style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J1" s="1" t="s">
        <v>8</v>
      </c>
      <c r="K1" s="1" t="s">
        <v>9</v>
      </c>
      <c r="L1" s="3" t="s">
        <v>10</v>
      </c>
    </row>
    <row r="2" spans="1:13">
      <c r="A2" s="1">
        <v>1</v>
      </c>
      <c r="B2" s="1">
        <f>C2*(D2/E2)*((F2^2)/19.6)</f>
        <v>21.3326795927817</v>
      </c>
      <c r="C2" s="1">
        <f>0.11*((K2/E2)^0.25)</f>
        <v>0.0328976731868669</v>
      </c>
      <c r="D2" s="1">
        <v>2</v>
      </c>
      <c r="E2" s="1">
        <v>0.05</v>
      </c>
      <c r="F2" s="1">
        <f>(4*H2)/(PI()*E2*E2)</f>
        <v>17.8253536262923</v>
      </c>
      <c r="H2" s="1">
        <v>0.035</v>
      </c>
      <c r="J2" s="1">
        <f>F2*E2/(1.14*0.000001)</f>
        <v>781813.755539135</v>
      </c>
      <c r="K2" s="1">
        <v>0.0004</v>
      </c>
      <c r="L2" s="1">
        <f>1000*E2/K2</f>
        <v>125000</v>
      </c>
      <c r="M2" s="3" t="s">
        <v>11</v>
      </c>
    </row>
    <row r="3" spans="1:13">
      <c r="A3" s="1">
        <v>2</v>
      </c>
      <c r="B3" s="1">
        <f>C3*(D3/E3)*((F3^2)/19.6)</f>
        <v>0.930576341564573</v>
      </c>
      <c r="C3" s="1">
        <f>0.11*((K3/E3)^0.25)</f>
        <v>0.0306147345208511</v>
      </c>
      <c r="D3" s="1">
        <v>3</v>
      </c>
      <c r="E3" s="1">
        <v>0.1</v>
      </c>
      <c r="F3" s="1">
        <f>(4*H3)/(PI()*E3*E3)</f>
        <v>4.45633840657307</v>
      </c>
      <c r="H3" s="1">
        <v>0.035</v>
      </c>
      <c r="J3" s="1">
        <f>F3*E3/(1.14*0.000001)</f>
        <v>390906.877769568</v>
      </c>
      <c r="K3" s="1">
        <v>0.0006</v>
      </c>
      <c r="L3" s="1">
        <f>1000*E3/K3</f>
        <v>166666.666666667</v>
      </c>
      <c r="M3" s="3" t="s">
        <v>11</v>
      </c>
    </row>
    <row r="4" spans="1:8">
      <c r="A4" s="1">
        <v>3</v>
      </c>
      <c r="B4" s="1">
        <f>C4*(D4/E4)*((F4^2)/19.6)</f>
        <v>2.44154693729677</v>
      </c>
      <c r="C4" s="1">
        <v>0.027</v>
      </c>
      <c r="D4" s="1">
        <v>1.5</v>
      </c>
      <c r="E4" s="1">
        <v>0.07</v>
      </c>
      <c r="F4" s="1">
        <f>(4*H4)/(PI()*E4*E4)</f>
        <v>9.09456817667973</v>
      </c>
      <c r="H4" s="1">
        <v>0.035</v>
      </c>
    </row>
    <row r="5" spans="1:8">
      <c r="A5" s="1">
        <v>4</v>
      </c>
      <c r="B5" s="1">
        <f>C5*(D5/E5)*((F5^2)/19.6)</f>
        <v>2.44154693729677</v>
      </c>
      <c r="C5" s="1">
        <v>0.027</v>
      </c>
      <c r="D5" s="1">
        <v>1.5</v>
      </c>
      <c r="E5" s="1">
        <v>0.07</v>
      </c>
      <c r="F5" s="1">
        <f>(4*H5)/(PI()*E5*E5)</f>
        <v>9.09456817667973</v>
      </c>
      <c r="H5" s="1">
        <v>0.035</v>
      </c>
    </row>
    <row r="6" spans="1:8">
      <c r="A6" s="1">
        <v>5</v>
      </c>
      <c r="B6" s="1">
        <f>C6*(D6/E6)*((F6^2)/19.6)</f>
        <v>4.06924489549461</v>
      </c>
      <c r="C6" s="1">
        <v>0.027</v>
      </c>
      <c r="D6" s="1">
        <v>2.5</v>
      </c>
      <c r="E6" s="1">
        <v>0.07</v>
      </c>
      <c r="F6" s="1">
        <f>(4*H6)/(PI()*E6*E6)</f>
        <v>9.09456817667973</v>
      </c>
      <c r="H6" s="1">
        <v>0.035</v>
      </c>
    </row>
    <row r="7" spans="8:8">
      <c r="H7" s="1">
        <v>0.035</v>
      </c>
    </row>
    <row r="8" spans="8:8">
      <c r="H8" s="1">
        <v>0.035</v>
      </c>
    </row>
    <row r="9" spans="2:8">
      <c r="B9" s="1" t="s">
        <v>12</v>
      </c>
      <c r="C9" s="1" t="s">
        <v>7</v>
      </c>
      <c r="F9" s="1" t="s">
        <v>4</v>
      </c>
      <c r="H9" s="1">
        <v>0.035</v>
      </c>
    </row>
    <row r="10" spans="1:8">
      <c r="A10" s="2" t="s">
        <v>13</v>
      </c>
      <c r="B10" s="1">
        <f t="shared" ref="B10:B16" si="0">C10*((F10^2)/19.6)</f>
        <v>8.10569469138702</v>
      </c>
      <c r="C10" s="1">
        <v>0.5</v>
      </c>
      <c r="F10" s="1">
        <f>F2</f>
        <v>17.8253536262923</v>
      </c>
      <c r="H10" s="1">
        <v>0.035</v>
      </c>
    </row>
    <row r="11" spans="1:8">
      <c r="A11" s="1">
        <v>12</v>
      </c>
      <c r="B11" s="1">
        <f t="shared" si="0"/>
        <v>9.1189065278104</v>
      </c>
      <c r="C11" s="1">
        <v>9</v>
      </c>
      <c r="F11" s="1">
        <f>F3</f>
        <v>4.45633840657307</v>
      </c>
      <c r="H11" s="1">
        <v>0.035</v>
      </c>
    </row>
    <row r="12" spans="1:8">
      <c r="A12" s="1">
        <v>23</v>
      </c>
      <c r="B12" s="1">
        <f t="shared" si="0"/>
        <v>1.07608920569746</v>
      </c>
      <c r="C12" s="1">
        <v>0.255</v>
      </c>
      <c r="F12" s="1">
        <f>F4</f>
        <v>9.09456817667973</v>
      </c>
      <c r="H12" s="1">
        <v>0.035</v>
      </c>
    </row>
    <row r="13" spans="1:12">
      <c r="A13" s="1">
        <v>34</v>
      </c>
      <c r="B13" s="1">
        <f t="shared" si="0"/>
        <v>0.843991533880365</v>
      </c>
      <c r="C13" s="1">
        <v>0.2</v>
      </c>
      <c r="F13" s="1">
        <f>F5</f>
        <v>9.09456817667973</v>
      </c>
      <c r="H13" s="1">
        <v>0.035</v>
      </c>
      <c r="J13" s="3" t="s">
        <v>14</v>
      </c>
      <c r="K13" s="3" t="s">
        <v>15</v>
      </c>
      <c r="L13" s="3" t="s">
        <v>16</v>
      </c>
    </row>
    <row r="14" spans="1:12">
      <c r="A14" s="1">
        <v>45</v>
      </c>
      <c r="B14" s="1">
        <f t="shared" si="0"/>
        <v>0.843991533880365</v>
      </c>
      <c r="C14" s="1">
        <v>0.2</v>
      </c>
      <c r="F14" s="1">
        <f>F6</f>
        <v>9.09456817667973</v>
      </c>
      <c r="H14" s="1">
        <v>0.035</v>
      </c>
      <c r="I14" s="1">
        <v>0</v>
      </c>
      <c r="J14" s="1">
        <v>64</v>
      </c>
      <c r="K14" s="1">
        <v>0</v>
      </c>
      <c r="L14" s="1">
        <f>J14-K14</f>
        <v>64</v>
      </c>
    </row>
    <row r="15" spans="1:12">
      <c r="A15" s="1">
        <v>5</v>
      </c>
      <c r="B15" s="1">
        <f t="shared" si="0"/>
        <v>8.69311279896776</v>
      </c>
      <c r="C15" s="1">
        <v>2.06</v>
      </c>
      <c r="F15" s="1">
        <f>F6</f>
        <v>9.09456817667973</v>
      </c>
      <c r="H15" s="1">
        <v>0.035</v>
      </c>
      <c r="I15" s="1">
        <v>0</v>
      </c>
      <c r="J15" s="1">
        <f>J14-B10</f>
        <v>55.894305308613</v>
      </c>
      <c r="K15" s="1">
        <f>F10*F10/19.6</f>
        <v>16.211389382774</v>
      </c>
      <c r="L15" s="1">
        <f t="shared" ref="L15:L25" si="1">J15-K15</f>
        <v>39.6829159258389</v>
      </c>
    </row>
    <row r="16" spans="1:12">
      <c r="A16" s="3" t="s">
        <v>17</v>
      </c>
      <c r="B16" s="1">
        <f t="shared" si="0"/>
        <v>4.21995766940182</v>
      </c>
      <c r="C16" s="1">
        <v>1</v>
      </c>
      <c r="F16" s="1">
        <f>F6</f>
        <v>9.09456817667973</v>
      </c>
      <c r="H16" s="1">
        <v>0.035</v>
      </c>
      <c r="I16" s="1">
        <v>1</v>
      </c>
      <c r="J16" s="1">
        <f>J15-B2</f>
        <v>34.5616257158312</v>
      </c>
      <c r="K16" s="1">
        <f>K15</f>
        <v>16.211389382774</v>
      </c>
      <c r="L16" s="1">
        <f t="shared" si="1"/>
        <v>18.3502363330572</v>
      </c>
    </row>
    <row r="17" spans="8:12">
      <c r="H17" s="1">
        <v>0.035</v>
      </c>
      <c r="I17" s="1">
        <v>1</v>
      </c>
      <c r="J17" s="1">
        <f>J16-B11</f>
        <v>25.4427191880208</v>
      </c>
      <c r="K17" s="1">
        <f>F11*F11/19.6</f>
        <v>1.01321183642338</v>
      </c>
      <c r="L17" s="1">
        <f t="shared" si="1"/>
        <v>24.4295073515974</v>
      </c>
    </row>
    <row r="18" spans="8:12">
      <c r="H18" s="1">
        <v>0.035</v>
      </c>
      <c r="I18" s="1">
        <v>2</v>
      </c>
      <c r="J18" s="1">
        <f>J17-B3</f>
        <v>24.5121428464562</v>
      </c>
      <c r="K18" s="1">
        <f>K17</f>
        <v>1.01321183642338</v>
      </c>
      <c r="L18" s="1">
        <f t="shared" si="1"/>
        <v>23.4989310100329</v>
      </c>
    </row>
    <row r="19" spans="2:12">
      <c r="B19" s="1">
        <f>SUM(B2:B6)+SUM(B10:B16)</f>
        <v>64.1173386654597</v>
      </c>
      <c r="H19" s="1">
        <v>0.035</v>
      </c>
      <c r="I19" s="1">
        <v>2</v>
      </c>
      <c r="J19" s="1">
        <f>J18-B12</f>
        <v>23.4360536407588</v>
      </c>
      <c r="K19" s="1">
        <v>4.1026</v>
      </c>
      <c r="L19" s="1">
        <f t="shared" si="1"/>
        <v>19.3334536407588</v>
      </c>
    </row>
    <row r="20" spans="8:12">
      <c r="H20" s="1">
        <v>0.035</v>
      </c>
      <c r="I20" s="1">
        <v>3</v>
      </c>
      <c r="J20" s="1">
        <f>J19-B4</f>
        <v>20.994506703462</v>
      </c>
      <c r="K20" s="1">
        <v>4.1026</v>
      </c>
      <c r="L20" s="1">
        <f t="shared" si="1"/>
        <v>16.891906703462</v>
      </c>
    </row>
    <row r="21" spans="8:12">
      <c r="H21" s="1">
        <v>0.035</v>
      </c>
      <c r="I21" s="1">
        <v>3</v>
      </c>
      <c r="J21" s="1">
        <f>J20-B13</f>
        <v>20.1505151695817</v>
      </c>
      <c r="K21" s="1">
        <v>4.1026</v>
      </c>
      <c r="L21" s="1">
        <f t="shared" si="1"/>
        <v>16.0479151695817</v>
      </c>
    </row>
    <row r="22" spans="8:12">
      <c r="H22" s="1">
        <v>0.035</v>
      </c>
      <c r="I22" s="1">
        <v>4</v>
      </c>
      <c r="J22" s="1">
        <f>J21-B5</f>
        <v>17.7089682322849</v>
      </c>
      <c r="K22" s="1">
        <v>4.1026</v>
      </c>
      <c r="L22" s="1">
        <f t="shared" si="1"/>
        <v>13.6063682322849</v>
      </c>
    </row>
    <row r="23" spans="9:12">
      <c r="I23" s="1">
        <v>4</v>
      </c>
      <c r="J23" s="1">
        <f>J22-B14</f>
        <v>16.8649766984045</v>
      </c>
      <c r="K23" s="1">
        <v>4.1026</v>
      </c>
      <c r="L23" s="1">
        <f t="shared" si="1"/>
        <v>12.7623766984045</v>
      </c>
    </row>
    <row r="24" spans="9:12">
      <c r="I24" s="1">
        <v>4.5</v>
      </c>
      <c r="J24" s="1">
        <f>J23-B6/2</f>
        <v>14.8303542506572</v>
      </c>
      <c r="K24" s="1">
        <v>4.1026</v>
      </c>
      <c r="L24" s="1">
        <f t="shared" si="1"/>
        <v>10.7277542506572</v>
      </c>
    </row>
    <row r="25" spans="9:12">
      <c r="I25" s="1">
        <v>4.5</v>
      </c>
      <c r="J25" s="1">
        <f>J24-B15</f>
        <v>6.13724145168946</v>
      </c>
      <c r="K25" s="1">
        <v>4.1026</v>
      </c>
      <c r="L25" s="1">
        <f t="shared" si="1"/>
        <v>2.03464145168946</v>
      </c>
    </row>
    <row r="26" spans="9:12">
      <c r="I26" s="1">
        <v>5</v>
      </c>
      <c r="J26" s="1">
        <f>J25-B6/2</f>
        <v>4.10261900394215</v>
      </c>
      <c r="K26" s="1">
        <v>4.1026</v>
      </c>
      <c r="L26" s="1">
        <v>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A1" sqref="A1:H7"/>
    </sheetView>
  </sheetViews>
  <sheetFormatPr defaultColWidth="9" defaultRowHeight="14"/>
  <cols>
    <col min="1" max="1" width="9" style="1"/>
    <col min="2" max="3" width="12.8181818181818" style="1"/>
    <col min="4" max="5" width="9" style="1"/>
    <col min="6" max="6" width="12.8181818181818" style="1"/>
    <col min="7" max="9" width="9" style="1"/>
    <col min="10" max="12" width="12.8181818181818" style="1"/>
    <col min="13" max="16384" width="9" style="1"/>
  </cols>
  <sheetData>
    <row r="1" s="1" customFormat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J1" s="1" t="s">
        <v>8</v>
      </c>
      <c r="K1" s="1" t="s">
        <v>9</v>
      </c>
      <c r="L1" s="3" t="s">
        <v>10</v>
      </c>
    </row>
    <row r="2" s="1" customFormat="1" spans="1:13">
      <c r="A2" s="1">
        <v>1</v>
      </c>
      <c r="B2" s="1">
        <f t="shared" ref="B2:B6" si="0">C2*(D2/E2)*((F2^2)/19.6)</f>
        <v>0</v>
      </c>
      <c r="E2" s="1">
        <v>1</v>
      </c>
      <c r="F2" s="1">
        <f>(4*H2)/(PI()*E2*E2)</f>
        <v>3.81971863420549</v>
      </c>
      <c r="H2" s="1">
        <v>3</v>
      </c>
      <c r="J2" s="1">
        <f>F2*E2/(1.14*0.000001)</f>
        <v>3350630.38088201</v>
      </c>
      <c r="L2" s="1" t="e">
        <f>1000*E2/K2</f>
        <v>#DIV/0!</v>
      </c>
      <c r="M2" s="3" t="s">
        <v>11</v>
      </c>
    </row>
    <row r="3" s="1" customFormat="1" spans="1:13">
      <c r="A3" s="1">
        <v>2</v>
      </c>
      <c r="B3" s="1" t="e">
        <f t="shared" si="0"/>
        <v>#DIV/0!</v>
      </c>
      <c r="F3" s="1" t="e">
        <f t="shared" ref="F2:F6" si="1">(4*H3)/(PI()*E3*E3)</f>
        <v>#DIV/0!</v>
      </c>
      <c r="J3" s="1" t="e">
        <f>F3*E3/(1.14*0.000001)</f>
        <v>#DIV/0!</v>
      </c>
      <c r="L3" s="1" t="e">
        <f>1000*E3/K3</f>
        <v>#DIV/0!</v>
      </c>
      <c r="M3" s="3" t="s">
        <v>11</v>
      </c>
    </row>
    <row r="4" s="1" customFormat="1" spans="1:6">
      <c r="A4" s="1">
        <v>3</v>
      </c>
      <c r="B4" s="1" t="e">
        <f t="shared" si="0"/>
        <v>#DIV/0!</v>
      </c>
      <c r="F4" s="1" t="e">
        <f t="shared" si="1"/>
        <v>#DIV/0!</v>
      </c>
    </row>
    <row r="5" s="1" customFormat="1" spans="1:6">
      <c r="A5" s="1">
        <v>4</v>
      </c>
      <c r="B5" s="1" t="e">
        <f t="shared" si="0"/>
        <v>#DIV/0!</v>
      </c>
      <c r="F5" s="1" t="e">
        <f t="shared" si="1"/>
        <v>#DIV/0!</v>
      </c>
    </row>
    <row r="6" s="1" customFormat="1" spans="1:6">
      <c r="A6" s="1">
        <v>5</v>
      </c>
      <c r="B6" s="1" t="e">
        <f t="shared" si="0"/>
        <v>#DIV/0!</v>
      </c>
      <c r="F6" s="1" t="e">
        <f t="shared" si="1"/>
        <v>#DIV/0!</v>
      </c>
    </row>
    <row r="9" s="1" customFormat="1" spans="2:6">
      <c r="B9" s="1" t="s">
        <v>12</v>
      </c>
      <c r="C9" s="1" t="s">
        <v>7</v>
      </c>
      <c r="F9" s="1" t="s">
        <v>4</v>
      </c>
    </row>
    <row r="10" s="1" customFormat="1" spans="1:2">
      <c r="A10" s="2" t="s">
        <v>13</v>
      </c>
      <c r="B10" s="1">
        <f t="shared" ref="B10:B16" si="2">C10*((F10^2)/19.6)</f>
        <v>0</v>
      </c>
    </row>
    <row r="11" s="1" customFormat="1" spans="1:2">
      <c r="A11" s="1">
        <v>12</v>
      </c>
      <c r="B11" s="1">
        <f t="shared" si="2"/>
        <v>0</v>
      </c>
    </row>
    <row r="12" s="1" customFormat="1" spans="1:2">
      <c r="A12" s="1">
        <v>23</v>
      </c>
      <c r="B12" s="1">
        <f t="shared" si="2"/>
        <v>0</v>
      </c>
    </row>
    <row r="13" s="1" customFormat="1" spans="1:12">
      <c r="A13" s="1">
        <v>34</v>
      </c>
      <c r="B13" s="1">
        <f t="shared" si="2"/>
        <v>0</v>
      </c>
      <c r="J13" s="3"/>
      <c r="K13" s="3"/>
      <c r="L13" s="3"/>
    </row>
    <row r="14" s="1" customFormat="1" spans="1:2">
      <c r="A14" s="1">
        <v>45</v>
      </c>
      <c r="B14" s="1">
        <f t="shared" si="2"/>
        <v>0</v>
      </c>
    </row>
    <row r="15" s="1" customFormat="1" spans="1:2">
      <c r="A15" s="1">
        <v>5</v>
      </c>
      <c r="B15" s="1">
        <f t="shared" si="2"/>
        <v>0</v>
      </c>
    </row>
    <row r="16" s="1" customFormat="1" spans="1:2">
      <c r="A16" s="3" t="s">
        <v>17</v>
      </c>
      <c r="B16" s="1">
        <f t="shared" si="2"/>
        <v>0</v>
      </c>
    </row>
    <row r="19" s="1" customFormat="1" spans="2:2">
      <c r="B19" s="1" t="e">
        <f>SUM(B2:B6)+SUM(B10:B16)</f>
        <v>#DIV/0!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$A1:$XFD1048576"/>
    </sheetView>
  </sheetViews>
  <sheetFormatPr defaultColWidth="8.72727272727273" defaultRowHeight="14" outlineLevelRow="7" outlineLevelCol="7"/>
  <cols>
    <col min="2" max="2" width="12.8181818181818"/>
    <col min="6" max="6" width="12.8181818181818"/>
  </cols>
  <sheetData>
    <row r="1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</row>
    <row r="2" spans="1:8">
      <c r="A2" s="1">
        <v>1</v>
      </c>
      <c r="B2" s="1">
        <f t="shared" ref="B2:B6" si="0">C2*(D2/E2)*((F2^2)/19.6)</f>
        <v>2.22094809193333</v>
      </c>
      <c r="C2" s="1">
        <v>0.029</v>
      </c>
      <c r="D2" s="1">
        <v>100</v>
      </c>
      <c r="E2" s="1">
        <v>0.3</v>
      </c>
      <c r="F2" s="1">
        <f>(4*H2)/(PI()*E2*E2)</f>
        <v>2.12206590789194</v>
      </c>
      <c r="G2" s="1"/>
      <c r="H2" s="1">
        <v>0.15</v>
      </c>
    </row>
    <row r="3" spans="1:8">
      <c r="A3" s="1">
        <v>2</v>
      </c>
      <c r="B3" s="1">
        <f t="shared" si="0"/>
        <v>8.52958943927843</v>
      </c>
      <c r="C3" s="1">
        <v>0.033</v>
      </c>
      <c r="D3" s="1">
        <v>100</v>
      </c>
      <c r="E3" s="1">
        <v>0.2</v>
      </c>
      <c r="F3" s="1">
        <f t="shared" ref="F2:F6" si="1">(4*H3)/(PI()*E3*E3)</f>
        <v>3.18309886183791</v>
      </c>
      <c r="G3" s="1"/>
      <c r="H3" s="1">
        <v>0.1</v>
      </c>
    </row>
    <row r="4" spans="1:8">
      <c r="A4" s="1">
        <v>3</v>
      </c>
      <c r="B4" s="1">
        <f t="shared" si="0"/>
        <v>86.8467288362895</v>
      </c>
      <c r="C4" s="1">
        <v>0.042</v>
      </c>
      <c r="D4" s="1">
        <v>100</v>
      </c>
      <c r="E4" s="1">
        <v>0.1</v>
      </c>
      <c r="F4" s="1">
        <f t="shared" si="1"/>
        <v>6.36619772367581</v>
      </c>
      <c r="G4" s="1"/>
      <c r="H4" s="1">
        <v>0.05</v>
      </c>
    </row>
    <row r="5" spans="1:8">
      <c r="A5" s="1">
        <v>4</v>
      </c>
      <c r="B5" s="1" t="e">
        <f t="shared" si="0"/>
        <v>#DIV/0!</v>
      </c>
      <c r="C5" s="1"/>
      <c r="D5" s="1"/>
      <c r="E5" s="1"/>
      <c r="F5" s="1" t="e">
        <f t="shared" si="1"/>
        <v>#DIV/0!</v>
      </c>
      <c r="G5" s="1"/>
      <c r="H5" s="1"/>
    </row>
    <row r="6" spans="1:8">
      <c r="A6" s="1">
        <v>5</v>
      </c>
      <c r="B6" s="1" t="e">
        <f t="shared" si="0"/>
        <v>#DIV/0!</v>
      </c>
      <c r="C6" s="1"/>
      <c r="D6" s="1"/>
      <c r="E6" s="1"/>
      <c r="F6" s="1" t="e">
        <f t="shared" si="1"/>
        <v>#DIV/0!</v>
      </c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2:2">
      <c r="B8">
        <f>SUM(B2:B4)</f>
        <v>97.5972663675013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4" sqref="F4"/>
    </sheetView>
  </sheetViews>
  <sheetFormatPr defaultColWidth="8.72727272727273" defaultRowHeight="14" outlineLevelRow="6" outlineLevelCol="7"/>
  <cols>
    <col min="2" max="2" width="12.8181818181818"/>
    <col min="6" max="6" width="12.8181818181818"/>
  </cols>
  <sheetData>
    <row r="1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</row>
    <row r="2" spans="1:8">
      <c r="A2" s="1">
        <v>1</v>
      </c>
      <c r="B2" s="1">
        <v>15</v>
      </c>
      <c r="C2" s="1">
        <v>0.025</v>
      </c>
      <c r="D2" s="1">
        <v>150</v>
      </c>
      <c r="E2" s="1">
        <v>0.05</v>
      </c>
      <c r="F2" s="1"/>
      <c r="G2" s="1"/>
      <c r="H2" s="1"/>
    </row>
    <row r="3" spans="1:8">
      <c r="A3" s="1">
        <v>2</v>
      </c>
      <c r="B3" s="1"/>
      <c r="C3" s="1"/>
      <c r="D3" s="1"/>
      <c r="E3" s="1"/>
      <c r="F3" s="1"/>
      <c r="G3" s="1"/>
      <c r="H3" s="1"/>
    </row>
    <row r="4" spans="1:8">
      <c r="A4" s="1">
        <v>3</v>
      </c>
      <c r="B4" s="1"/>
      <c r="C4" s="1"/>
      <c r="D4" s="1"/>
      <c r="E4" s="1"/>
      <c r="F4" s="1"/>
      <c r="G4" s="1"/>
      <c r="H4" s="1"/>
    </row>
    <row r="5" spans="1:8">
      <c r="A5" s="1">
        <v>4</v>
      </c>
      <c r="B5" s="1"/>
      <c r="C5" s="1"/>
      <c r="D5" s="1"/>
      <c r="E5" s="1"/>
      <c r="F5" s="1"/>
      <c r="G5" s="1"/>
      <c r="H5" s="1"/>
    </row>
    <row r="6" spans="1:8">
      <c r="A6" s="1">
        <v>5</v>
      </c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9-3</vt:lpstr>
      <vt:lpstr>9-4</vt:lpstr>
      <vt:lpstr>9-6</vt:lpstr>
      <vt:lpstr>9-11</vt:lpstr>
      <vt:lpstr>9-12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粮食和蔬菜</cp:lastModifiedBy>
  <dcterms:created xsi:type="dcterms:W3CDTF">2020-05-14T13:14:00Z</dcterms:created>
  <dcterms:modified xsi:type="dcterms:W3CDTF">2020-05-15T03:04:15Z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