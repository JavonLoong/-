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20" windowHeight="768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<sst xmlns="http://schemas.openxmlformats.org/spreadsheetml/2006/main" count="20" uniqueCount="20">
  <si>
    <t>局部水头损失量测实验</t>
  </si>
  <si>
    <r>
      <rPr>
        <sz val="11"/>
        <color theme="1"/>
        <rFont val="宋体"/>
        <charset val="134"/>
      </rPr>
      <t>有关常数</t>
    </r>
  </si>
  <si>
    <t>d1=1.42cm   d2=3cm   F=150cm2</t>
  </si>
  <si>
    <r>
      <rPr>
        <sz val="11"/>
        <color theme="1"/>
        <rFont val="宋体"/>
        <charset val="134"/>
      </rPr>
      <t>测压管水头测量</t>
    </r>
  </si>
  <si>
    <r>
      <rPr>
        <sz val="11"/>
        <color theme="1"/>
        <rFont val="宋体"/>
        <charset val="134"/>
      </rPr>
      <t>流量测量及计算</t>
    </r>
  </si>
  <si>
    <r>
      <rPr>
        <sz val="11"/>
        <color theme="1"/>
        <rFont val="宋体"/>
        <charset val="134"/>
      </rPr>
      <t>局部水头损失及系数</t>
    </r>
  </si>
  <si>
    <r>
      <rPr>
        <sz val="11"/>
        <color theme="1"/>
        <rFont val="宋体"/>
        <charset val="134"/>
      </rPr>
      <t>序号</t>
    </r>
  </si>
  <si>
    <t>z3(cm)</t>
  </si>
  <si>
    <t>zmax(cm)</t>
  </si>
  <si>
    <t>h1(cm)</t>
  </si>
  <si>
    <t>h2(cm)</t>
  </si>
  <si>
    <t>t(s)</t>
  </si>
  <si>
    <t>Q(cm3/s)</t>
  </si>
  <si>
    <t>hj(cm)</t>
  </si>
  <si>
    <r>
      <rPr>
        <sz val="11"/>
        <color theme="1"/>
        <rFont val="Times New Roman"/>
        <charset val="134"/>
      </rPr>
      <t>ζ1</t>
    </r>
    <r>
      <rPr>
        <sz val="11"/>
        <color theme="1"/>
        <rFont val="宋体"/>
        <charset val="134"/>
      </rPr>
      <t>实验</t>
    </r>
  </si>
  <si>
    <r>
      <rPr>
        <sz val="11"/>
        <color theme="1"/>
        <rFont val="Times New Roman"/>
        <charset val="134"/>
      </rPr>
      <t>ζ2</t>
    </r>
    <r>
      <rPr>
        <sz val="11"/>
        <color theme="1"/>
        <rFont val="宋体"/>
        <charset val="134"/>
      </rPr>
      <t>实验</t>
    </r>
  </si>
  <si>
    <r>
      <rPr>
        <sz val="11"/>
        <color theme="1"/>
        <rFont val="Times New Roman"/>
        <charset val="134"/>
      </rPr>
      <t>ζ1</t>
    </r>
    <r>
      <rPr>
        <sz val="11"/>
        <color theme="1"/>
        <rFont val="宋体"/>
        <charset val="134"/>
      </rPr>
      <t>理论</t>
    </r>
  </si>
  <si>
    <r>
      <rPr>
        <sz val="11"/>
        <color theme="1"/>
        <rFont val="Times New Roman"/>
        <charset val="134"/>
      </rPr>
      <t>ζ2</t>
    </r>
    <r>
      <rPr>
        <sz val="11"/>
        <color theme="1"/>
        <rFont val="宋体"/>
        <charset val="134"/>
      </rPr>
      <t>理论</t>
    </r>
  </si>
  <si>
    <t>v1</t>
  </si>
  <si>
    <t>v2</t>
  </si>
</sst>
</file>

<file path=xl/styles.xml><?xml version="1.0" encoding="utf-8"?>
<styleSheet xmlns="http://schemas.openxmlformats.org/spreadsheetml/2006/main">
  <numFmts count="6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.000_ "/>
    <numFmt numFmtId="177" formatCode="0.00_ "/>
  </numFmts>
  <fonts count="2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6" fillId="26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5" borderId="7" applyNumberFormat="0" applyFont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9" fillId="11" borderId="3" applyNumberFormat="0" applyAlignment="0" applyProtection="0">
      <alignment vertical="center"/>
    </xf>
    <xf numFmtId="0" fontId="20" fillId="11" borderId="8" applyNumberFormat="0" applyAlignment="0" applyProtection="0">
      <alignment vertical="center"/>
    </xf>
    <xf numFmtId="0" fontId="13" fillId="22" borderId="4" applyNumberFormat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"/>
  <sheetViews>
    <sheetView tabSelected="1" workbookViewId="0">
      <selection activeCell="D12" sqref="D12"/>
    </sheetView>
  </sheetViews>
  <sheetFormatPr defaultColWidth="9" defaultRowHeight="14"/>
  <cols>
    <col min="1" max="1" width="5.18181818181818" style="1" customWidth="1"/>
    <col min="2" max="2" width="7" style="1" customWidth="1"/>
    <col min="3" max="3" width="9.27272727272727" style="1" customWidth="1"/>
    <col min="4" max="5" width="7.09090909090909" style="1" customWidth="1"/>
    <col min="6" max="6" width="5.54545454545455" style="1" customWidth="1"/>
    <col min="7" max="7" width="9" style="1" customWidth="1"/>
    <col min="8" max="10" width="12.8181818181818" style="1" customWidth="1"/>
    <col min="11" max="11" width="7" style="1" customWidth="1"/>
    <col min="12" max="12" width="7.63636363636364" style="1" customWidth="1"/>
    <col min="13" max="14" width="6.63636363636364" style="1" customWidth="1"/>
    <col min="15" max="16384" width="9" style="1"/>
  </cols>
  <sheetData>
    <row r="1" spans="1:1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>
      <c r="A2" s="2"/>
      <c r="B2" s="2" t="s">
        <v>1</v>
      </c>
      <c r="C2" s="2"/>
      <c r="D2" s="2" t="s">
        <v>2</v>
      </c>
      <c r="E2" s="2"/>
      <c r="F2" s="2"/>
      <c r="G2" s="2"/>
      <c r="H2" s="2"/>
      <c r="I2" s="2"/>
      <c r="J2" s="2"/>
      <c r="K2" s="2"/>
      <c r="L2" s="2"/>
    </row>
    <row r="3" spans="1:12">
      <c r="A3" s="2"/>
      <c r="B3" s="2" t="s">
        <v>3</v>
      </c>
      <c r="C3" s="2"/>
      <c r="D3" s="2" t="s">
        <v>4</v>
      </c>
      <c r="E3" s="2"/>
      <c r="F3" s="2"/>
      <c r="G3" s="2"/>
      <c r="H3" s="2" t="s">
        <v>5</v>
      </c>
      <c r="I3" s="2"/>
      <c r="J3" s="2"/>
      <c r="K3" s="2"/>
      <c r="L3" s="2"/>
    </row>
    <row r="4" spans="1:14">
      <c r="A4" s="2" t="s">
        <v>6</v>
      </c>
      <c r="B4" s="2" t="s">
        <v>7</v>
      </c>
      <c r="C4" s="2" t="s">
        <v>8</v>
      </c>
      <c r="D4" s="2" t="s">
        <v>9</v>
      </c>
      <c r="E4" s="2" t="s">
        <v>10</v>
      </c>
      <c r="F4" s="2" t="s">
        <v>11</v>
      </c>
      <c r="G4" s="2" t="s">
        <v>12</v>
      </c>
      <c r="H4" s="2" t="s">
        <v>13</v>
      </c>
      <c r="I4" s="2" t="s">
        <v>14</v>
      </c>
      <c r="J4" s="2" t="s">
        <v>15</v>
      </c>
      <c r="K4" s="2" t="s">
        <v>16</v>
      </c>
      <c r="L4" s="2" t="s">
        <v>17</v>
      </c>
      <c r="M4" s="1" t="s">
        <v>18</v>
      </c>
      <c r="N4" s="1" t="s">
        <v>19</v>
      </c>
    </row>
    <row r="5" spans="1:14">
      <c r="A5" s="2">
        <v>1</v>
      </c>
      <c r="B5" s="2">
        <v>38.93</v>
      </c>
      <c r="C5" s="3">
        <v>42.6</v>
      </c>
      <c r="D5" s="2">
        <v>3.55</v>
      </c>
      <c r="E5" s="2">
        <v>16.75</v>
      </c>
      <c r="F5" s="2">
        <v>8.72</v>
      </c>
      <c r="G5" s="3">
        <f>((E5-D5)*150)/F5</f>
        <v>227.064220183486</v>
      </c>
      <c r="H5" s="4">
        <f>100*(B5/100-C5/100+(M5*M5-N5*N5)/19.6)</f>
        <v>6.29190126503355</v>
      </c>
      <c r="I5" s="4">
        <f>H5*0.196/(M5^2)</f>
        <v>0.599892869543058</v>
      </c>
      <c r="J5" s="4">
        <f>H5*0.196/(N5^2)</f>
        <v>11.9510301269</v>
      </c>
      <c r="K5" s="4">
        <f>(1-I11)^2</f>
        <v>0.602107024197531</v>
      </c>
      <c r="L5" s="4">
        <f>(J11-1)^2</f>
        <v>11.9951403844555</v>
      </c>
      <c r="M5" s="5">
        <f>G5/(((PI()*0.0142*0.0142)/4)*1000000)</f>
        <v>1.43377873602493</v>
      </c>
      <c r="N5" s="5">
        <f>G5/(((PI()*0.03*0.03)/4)*1000000)</f>
        <v>0.321230160368963</v>
      </c>
    </row>
    <row r="6" spans="1:14">
      <c r="A6" s="2">
        <v>2</v>
      </c>
      <c r="B6" s="2">
        <v>39.58</v>
      </c>
      <c r="C6" s="2">
        <v>43.12</v>
      </c>
      <c r="D6" s="3">
        <v>2.8</v>
      </c>
      <c r="E6" s="2">
        <v>15.28</v>
      </c>
      <c r="F6" s="2">
        <v>8.43</v>
      </c>
      <c r="G6" s="3">
        <f>((E6-D6)*150)/F6</f>
        <v>222.064056939502</v>
      </c>
      <c r="H6" s="4">
        <f>100*(B6/100-C6/100+(M6*M6-N6*N6)/19.6)</f>
        <v>5.98799151915081</v>
      </c>
      <c r="I6" s="4">
        <f>H6*0.196/(M6^2)</f>
        <v>0.59691686394366</v>
      </c>
      <c r="J6" s="4">
        <f>H6*0.196/(N6^2)</f>
        <v>11.8917423200565</v>
      </c>
      <c r="K6" s="4"/>
      <c r="L6" s="4"/>
      <c r="M6" s="5">
        <f>G6/(((PI()*0.0142*0.0142)/4)*1000000)</f>
        <v>1.40220560781439</v>
      </c>
      <c r="N6" s="5">
        <f>G6/(((PI()*0.03*0.03)/4)*1000000)</f>
        <v>0.314156376399661</v>
      </c>
    </row>
    <row r="7" spans="1:14">
      <c r="A7" s="2">
        <v>3</v>
      </c>
      <c r="B7" s="2">
        <v>41.89</v>
      </c>
      <c r="C7" s="2">
        <v>44.95</v>
      </c>
      <c r="D7" s="3">
        <v>3.2</v>
      </c>
      <c r="E7" s="3">
        <v>15.3</v>
      </c>
      <c r="F7" s="2">
        <v>8.81</v>
      </c>
      <c r="G7" s="3">
        <f>((E7-D7)*150)/F7</f>
        <v>206.015891032917</v>
      </c>
      <c r="H7" s="4">
        <f>100*(B7/100-C7/100+(M7*M7-N7*N7)/19.6)</f>
        <v>5.14061199817703</v>
      </c>
      <c r="I7" s="4">
        <f>H7*0.196/(M7^2)</f>
        <v>0.595391452027106</v>
      </c>
      <c r="J7" s="4">
        <f>H7*0.196/(N7^2)</f>
        <v>11.8613531544301</v>
      </c>
      <c r="K7" s="4"/>
      <c r="L7" s="4"/>
      <c r="M7" s="5">
        <f>G7/(((PI()*0.0142*0.0142)/4)*1000000)</f>
        <v>1.30087075633287</v>
      </c>
      <c r="N7" s="5">
        <f>G7/(((PI()*0.03*0.03)/4)*1000000)</f>
        <v>0.291452865896623</v>
      </c>
    </row>
    <row r="11" spans="8:10">
      <c r="H11" s="1">
        <f>1.42/3</f>
        <v>0.473333333333333</v>
      </c>
      <c r="I11" s="1">
        <f>H11^2</f>
        <v>0.224044444444444</v>
      </c>
      <c r="J11" s="1">
        <f>1/I11</f>
        <v>4.463400119024</v>
      </c>
    </row>
  </sheetData>
  <mergeCells count="8">
    <mergeCell ref="A1:L1"/>
    <mergeCell ref="B2:C2"/>
    <mergeCell ref="D2:L2"/>
    <mergeCell ref="B3:C3"/>
    <mergeCell ref="D3:G3"/>
    <mergeCell ref="H3:L3"/>
    <mergeCell ref="K5:K7"/>
    <mergeCell ref="L5:L7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粮食和蔬菜</cp:lastModifiedBy>
  <dcterms:created xsi:type="dcterms:W3CDTF">2020-05-21T12:48:00Z</dcterms:created>
  <dcterms:modified xsi:type="dcterms:W3CDTF">2020-05-21T16:16:12Z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2052-11.1.0.9662</vt:lpwstr>
  </property>
</Properties>
</file>