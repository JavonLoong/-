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zy19\Desktop\"/>
    </mc:Choice>
  </mc:AlternateContent>
  <xr:revisionPtr revIDLastSave="0" documentId="13_ncr:1_{C6099CA8-4BD4-436C-B79B-E279F208A3FD}" xr6:coauthVersionLast="46" xr6:coauthVersionMax="46" xr10:uidLastSave="{00000000-0000-0000-0000-000000000000}"/>
  <bookViews>
    <workbookView xWindow="-108" yWindow="-108" windowWidth="23256" windowHeight="12576" xr2:uid="{95E19C52-6B76-424A-98A0-B57DF58A4B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5" i="1"/>
  <c r="L7" i="1"/>
  <c r="L6" i="1"/>
  <c r="L5" i="1"/>
  <c r="K7" i="1"/>
  <c r="K6" i="1"/>
  <c r="K5" i="1"/>
  <c r="J6" i="1"/>
  <c r="J7" i="1"/>
  <c r="J5" i="1"/>
  <c r="I6" i="1"/>
  <c r="I7" i="1"/>
  <c r="I5" i="1"/>
  <c r="H6" i="1"/>
  <c r="H7" i="1"/>
  <c r="H5" i="1"/>
  <c r="O6" i="1"/>
  <c r="O7" i="1"/>
  <c r="O5" i="1"/>
  <c r="N6" i="1"/>
  <c r="N7" i="1"/>
  <c r="N5" i="1"/>
  <c r="G6" i="1"/>
  <c r="G7" i="1"/>
  <c r="G5" i="1"/>
</calcChain>
</file>

<file path=xl/sharedStrings.xml><?xml version="1.0" encoding="utf-8"?>
<sst xmlns="http://schemas.openxmlformats.org/spreadsheetml/2006/main" count="21" uniqueCount="21">
  <si>
    <t>有关常数</t>
    <phoneticPr fontId="2" type="noConversion"/>
  </si>
  <si>
    <t>序号</t>
    <phoneticPr fontId="2" type="noConversion"/>
  </si>
  <si>
    <t>测压管水头测量</t>
    <phoneticPr fontId="2" type="noConversion"/>
  </si>
  <si>
    <t>流量测量及计算</t>
    <phoneticPr fontId="2" type="noConversion"/>
  </si>
  <si>
    <t>局部水头损失及系数</t>
    <phoneticPr fontId="2" type="noConversion"/>
  </si>
  <si>
    <r>
      <rPr>
        <sz val="11"/>
        <color theme="1"/>
        <rFont val="等线"/>
        <family val="2"/>
        <charset val="134"/>
      </rPr>
      <t>z</t>
    </r>
    <r>
      <rPr>
        <sz val="11"/>
        <color theme="1"/>
        <rFont val="Malgun Gothic Semilight"/>
        <family val="2"/>
        <charset val="134"/>
      </rPr>
      <t>₃</t>
    </r>
    <r>
      <rPr>
        <sz val="11"/>
        <color theme="1"/>
        <rFont val="等线"/>
        <family val="2"/>
        <charset val="134"/>
        <scheme val="minor"/>
      </rPr>
      <t>（cm）</t>
    </r>
    <phoneticPr fontId="2" type="noConversion"/>
  </si>
  <si>
    <t>z(cm)</t>
  </si>
  <si>
    <t>h1(cm)</t>
    <phoneticPr fontId="2" type="noConversion"/>
  </si>
  <si>
    <t>h2(cm)</t>
    <phoneticPr fontId="2" type="noConversion"/>
  </si>
  <si>
    <t>t(s)</t>
    <phoneticPr fontId="2" type="noConversion"/>
  </si>
  <si>
    <t>Q(cm^3/s)</t>
    <phoneticPr fontId="2" type="noConversion"/>
  </si>
  <si>
    <t>hj(cm)</t>
    <phoneticPr fontId="2" type="noConversion"/>
  </si>
  <si>
    <r>
      <rPr>
        <sz val="11"/>
        <color theme="1"/>
        <rFont val="Malgun Gothic Semilight"/>
        <family val="2"/>
        <charset val="134"/>
      </rPr>
      <t>ζ</t>
    </r>
    <r>
      <rPr>
        <sz val="11"/>
        <color theme="1"/>
        <rFont val="等线"/>
        <family val="3"/>
        <charset val="134"/>
      </rPr>
      <t>1实验</t>
    </r>
    <phoneticPr fontId="2" type="noConversion"/>
  </si>
  <si>
    <t>ζ2实验</t>
    <phoneticPr fontId="2" type="noConversion"/>
  </si>
  <si>
    <t>ζ1理论</t>
    <phoneticPr fontId="2" type="noConversion"/>
  </si>
  <si>
    <t>ζ2理论</t>
    <phoneticPr fontId="2" type="noConversion"/>
  </si>
  <si>
    <t>d1(cm)</t>
    <phoneticPr fontId="2" type="noConversion"/>
  </si>
  <si>
    <t>d2(cm)</t>
    <phoneticPr fontId="2" type="noConversion"/>
  </si>
  <si>
    <t>F(cm²)</t>
    <phoneticPr fontId="2" type="noConversion"/>
  </si>
  <si>
    <t>v1</t>
    <phoneticPr fontId="2" type="noConversion"/>
  </si>
  <si>
    <t>v2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</si>
</sst>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Malgun Gothic Semi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12</xdr:row>
      <xdr:rowOff>49530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3B11AC1-7263-45FA-BFC5-43A326AD2ECA}"/>
            </a:ext>
          </a:extLst>
        </xdr:cNvPr>
        <xdr:cNvSpPr txBox="1"/>
      </xdr:nvSpPr>
      <xdr:spPr>
        <a:xfrm>
          <a:off x="6629400" y="21983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6368-C662-459B-A295-06977E76A2C8}">
  <dimension ref="A1:R15"/>
  <sheetViews>
    <sheetView tabSelected="1" workbookViewId="0">
      <selection activeCell="R5" sqref="R5"/>
    </sheetView>
  </sheetViews>
  <sheetFormatPr defaultRowHeight="13.8" x14ac:dyDescent="0.25"/>
  <sheetData>
    <row r="1" spans="1:18" x14ac:dyDescent="0.25">
      <c r="A1" s="1"/>
      <c r="B1" s="1"/>
      <c r="C1" s="1"/>
      <c r="D1" s="1" t="s">
        <v>16</v>
      </c>
      <c r="E1" s="1" t="s">
        <v>17</v>
      </c>
      <c r="F1" s="1" t="s">
        <v>18</v>
      </c>
      <c r="G1" s="1"/>
      <c r="H1" s="1"/>
      <c r="I1" s="1"/>
      <c r="J1" s="1"/>
      <c r="K1" s="1"/>
      <c r="L1" s="1"/>
      <c r="M1" s="1"/>
      <c r="N1" s="1"/>
    </row>
    <row r="2" spans="1:18" x14ac:dyDescent="0.25">
      <c r="A2" s="1"/>
      <c r="B2" s="2" t="s">
        <v>0</v>
      </c>
      <c r="C2" s="2"/>
      <c r="D2" s="1">
        <v>1.42</v>
      </c>
      <c r="E2" s="1">
        <v>3</v>
      </c>
      <c r="F2" s="1">
        <v>150</v>
      </c>
      <c r="G2" s="1"/>
      <c r="H2" s="1"/>
      <c r="I2" s="1"/>
      <c r="J2" s="1"/>
      <c r="K2" s="1"/>
      <c r="L2" s="1"/>
      <c r="M2" s="1"/>
      <c r="N2" s="1"/>
    </row>
    <row r="3" spans="1:18" x14ac:dyDescent="0.25">
      <c r="A3" s="1"/>
      <c r="B3" s="2" t="s">
        <v>2</v>
      </c>
      <c r="C3" s="2"/>
      <c r="D3" s="2" t="s">
        <v>3</v>
      </c>
      <c r="E3" s="2"/>
      <c r="F3" s="2"/>
      <c r="G3" s="2"/>
      <c r="H3" s="2" t="s">
        <v>4</v>
      </c>
      <c r="I3" s="2"/>
      <c r="J3" s="2"/>
      <c r="K3" s="2"/>
      <c r="L3" s="2"/>
      <c r="M3" s="1"/>
      <c r="N3" s="1"/>
    </row>
    <row r="4" spans="1:18" ht="17.399999999999999" x14ac:dyDescent="0.25">
      <c r="A4" s="1" t="s">
        <v>1</v>
      </c>
      <c r="B4" s="3" t="s">
        <v>5</v>
      </c>
      <c r="C4" s="4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5" t="s">
        <v>12</v>
      </c>
      <c r="J4" s="1" t="s">
        <v>13</v>
      </c>
      <c r="K4" s="1" t="s">
        <v>14</v>
      </c>
      <c r="L4" s="1" t="s">
        <v>15</v>
      </c>
      <c r="M4" s="1"/>
      <c r="N4" s="1" t="s">
        <v>19</v>
      </c>
      <c r="O4" s="1" t="s">
        <v>20</v>
      </c>
    </row>
    <row r="5" spans="1:18" x14ac:dyDescent="0.25">
      <c r="A5" s="1">
        <v>1</v>
      </c>
      <c r="B5" s="6">
        <v>39.1</v>
      </c>
      <c r="C5" s="6">
        <v>43.8</v>
      </c>
      <c r="D5" s="6">
        <v>1.75</v>
      </c>
      <c r="E5" s="6">
        <v>13.82</v>
      </c>
      <c r="F5" s="6">
        <v>7.08</v>
      </c>
      <c r="G5" s="6">
        <f>(E5-D5)*$F$2/F5</f>
        <v>255.72033898305085</v>
      </c>
      <c r="H5" s="6">
        <f>B5-C5+(N5^2-O5^2)/(2*9.81*100)</f>
        <v>7.9349312408361161</v>
      </c>
      <c r="I5" s="6">
        <f>H5*2*9.81*100/N5^2</f>
        <v>0.59649158181138273</v>
      </c>
      <c r="J5" s="6">
        <f>H5*2*9.81*100/O5^2</f>
        <v>11.88326987466955</v>
      </c>
      <c r="K5" s="6">
        <f>(1-(D2/E2)^2)^2</f>
        <v>0.60210702419753082</v>
      </c>
      <c r="L5" s="6">
        <f>((E2/D2)^2-1)^2</f>
        <v>11.995140384455485</v>
      </c>
      <c r="M5" s="1"/>
      <c r="N5" s="1">
        <f>G5*4/(3.14*$D$2*$D$2)</f>
        <v>161.55445031193315</v>
      </c>
      <c r="O5">
        <f>G5*4/(3.14*$E$2*$E$2)</f>
        <v>36.195377067664666</v>
      </c>
      <c r="Q5">
        <f>(K5-I5)/K5</f>
        <v>9.3263193426985306E-3</v>
      </c>
      <c r="R5">
        <f>(L5-J5)/L5</f>
        <v>9.3263193426988932E-3</v>
      </c>
    </row>
    <row r="6" spans="1:18" x14ac:dyDescent="0.25">
      <c r="A6" s="1">
        <v>2</v>
      </c>
      <c r="B6" s="6">
        <v>40.299999999999997</v>
      </c>
      <c r="C6" s="6">
        <v>43.8</v>
      </c>
      <c r="D6" s="6">
        <v>1.98</v>
      </c>
      <c r="E6" s="6">
        <v>13</v>
      </c>
      <c r="F6" s="6">
        <v>7.67</v>
      </c>
      <c r="G6" s="6">
        <f t="shared" ref="G6:G7" si="0">(E6-D6)*$F$2/F6</f>
        <v>215.51499348109519</v>
      </c>
      <c r="H6" s="6">
        <f t="shared" ref="H6:H7" si="1">B6-C6+(N6^2-O6^2)/(2*9.81*100)</f>
        <v>5.4742325480267287</v>
      </c>
      <c r="I6" s="6">
        <f t="shared" ref="I6:I7" si="2">H6*2*9.81*100/N6^2</f>
        <v>0.5793752745993187</v>
      </c>
      <c r="J6" s="6">
        <f t="shared" ref="J6:J7" si="3">H6*2*9.81*100/O6^2</f>
        <v>11.542279818714276</v>
      </c>
      <c r="K6" s="6">
        <f>K5</f>
        <v>0.60210702419753082</v>
      </c>
      <c r="L6" s="6">
        <f>L5</f>
        <v>11.995140384455485</v>
      </c>
      <c r="M6" s="1"/>
      <c r="N6" s="1">
        <f t="shared" ref="N6:N7" si="4">G6*4/(3.14*$D$2*$D$2)</f>
        <v>136.15423178414403</v>
      </c>
      <c r="O6">
        <f t="shared" ref="O6:O7" si="5">G6*4/(3.14*$E$2*$E$2)</f>
        <v>30.504599218838671</v>
      </c>
    </row>
    <row r="7" spans="1:18" x14ac:dyDescent="0.25">
      <c r="A7" s="1">
        <v>3</v>
      </c>
      <c r="B7" s="6">
        <v>41.9</v>
      </c>
      <c r="C7" s="6">
        <v>45.12</v>
      </c>
      <c r="D7" s="6">
        <v>1.9</v>
      </c>
      <c r="E7" s="6">
        <v>12.28</v>
      </c>
      <c r="F7" s="6">
        <v>7.52</v>
      </c>
      <c r="G7" s="6">
        <f t="shared" si="0"/>
        <v>207.0478723404255</v>
      </c>
      <c r="H7" s="6">
        <f t="shared" si="1"/>
        <v>5.0629279547266801</v>
      </c>
      <c r="I7" s="6">
        <f t="shared" si="2"/>
        <v>0.58056639988088565</v>
      </c>
      <c r="J7" s="6">
        <f t="shared" si="3"/>
        <v>11.566009345847622</v>
      </c>
      <c r="K7" s="6">
        <f>K5</f>
        <v>0.60210702419753082</v>
      </c>
      <c r="L7" s="6">
        <f>L5</f>
        <v>11.995140384455485</v>
      </c>
      <c r="M7" s="1"/>
      <c r="N7" s="1">
        <f t="shared" si="4"/>
        <v>130.8050244936903</v>
      </c>
      <c r="O7">
        <f t="shared" si="5"/>
        <v>29.306139043230786</v>
      </c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4">
    <mergeCell ref="B3:C3"/>
    <mergeCell ref="B2:C2"/>
    <mergeCell ref="D3:G3"/>
    <mergeCell ref="H3:L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卞姿懿</dc:creator>
  <cp:lastModifiedBy>卞姿懿</cp:lastModifiedBy>
  <dcterms:created xsi:type="dcterms:W3CDTF">2021-05-16T05:34:44Z</dcterms:created>
  <dcterms:modified xsi:type="dcterms:W3CDTF">2021-05-16T12:20:18Z</dcterms:modified>
</cp:coreProperties>
</file>