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87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<sst xmlns="http://schemas.openxmlformats.org/spreadsheetml/2006/main" count="42" uniqueCount="34">
  <si>
    <r>
      <rPr>
        <sz val="10.5"/>
        <color theme="1"/>
        <rFont val="宋体"/>
        <charset val="134"/>
      </rPr>
      <t>测次</t>
    </r>
  </si>
  <si>
    <r>
      <rPr>
        <sz val="10.5"/>
        <color theme="1"/>
        <rFont val="宋体"/>
        <charset val="134"/>
      </rPr>
      <t>比压计读数</t>
    </r>
  </si>
  <si>
    <r>
      <rPr>
        <sz val="10.5"/>
        <color theme="1"/>
        <rFont val="宋体"/>
        <charset val="134"/>
      </rPr>
      <t>体积法</t>
    </r>
  </si>
  <si>
    <r>
      <rPr>
        <sz val="10.5"/>
        <color theme="1"/>
        <rFont val="宋体"/>
        <charset val="134"/>
      </rPr>
      <t>水温</t>
    </r>
  </si>
  <si>
    <r>
      <rPr>
        <sz val="10.5"/>
        <color theme="1"/>
        <rFont val="宋体"/>
        <charset val="134"/>
      </rPr>
      <t>运动粘滞系数</t>
    </r>
  </si>
  <si>
    <r>
      <rPr>
        <sz val="10.5"/>
        <color theme="1"/>
        <rFont val="宋体"/>
        <charset val="134"/>
      </rPr>
      <t>计算</t>
    </r>
  </si>
  <si>
    <r>
      <rPr>
        <sz val="11"/>
        <color theme="1"/>
        <rFont val="宋体"/>
        <charset val="134"/>
      </rPr>
      <t>绘制图线</t>
    </r>
  </si>
  <si>
    <r>
      <rPr>
        <i/>
        <sz val="10.5"/>
        <color theme="1"/>
        <rFont val="Times New Roman"/>
        <charset val="134"/>
      </rPr>
      <t>h</t>
    </r>
    <r>
      <rPr>
        <vertAlign val="subscript"/>
        <sz val="10.5"/>
        <color theme="1"/>
        <rFont val="Times New Roman"/>
        <charset val="134"/>
      </rPr>
      <t>1</t>
    </r>
  </si>
  <si>
    <r>
      <rPr>
        <i/>
        <sz val="10.5"/>
        <color theme="1"/>
        <rFont val="Times New Roman"/>
        <charset val="134"/>
      </rPr>
      <t>h</t>
    </r>
    <r>
      <rPr>
        <vertAlign val="subscript"/>
        <sz val="10.5"/>
        <color theme="1"/>
        <rFont val="Times New Roman"/>
        <charset val="134"/>
      </rPr>
      <t>2</t>
    </r>
  </si>
  <si>
    <r>
      <rPr>
        <i/>
        <sz val="10.5"/>
        <color theme="1"/>
        <rFont val="Times New Roman"/>
        <charset val="134"/>
      </rPr>
      <t>h</t>
    </r>
    <r>
      <rPr>
        <i/>
        <vertAlign val="subscript"/>
        <sz val="10.5"/>
        <color theme="1"/>
        <rFont val="Times New Roman"/>
        <charset val="134"/>
      </rPr>
      <t>f</t>
    </r>
  </si>
  <si>
    <r>
      <rPr>
        <sz val="10.5"/>
        <color theme="1"/>
        <rFont val="宋体"/>
        <charset val="134"/>
      </rPr>
      <t>起始水位</t>
    </r>
  </si>
  <si>
    <t>最终水位</t>
  </si>
  <si>
    <r>
      <rPr>
        <sz val="10.5"/>
        <color theme="1"/>
        <rFont val="宋体"/>
        <charset val="134"/>
      </rPr>
      <t>时间</t>
    </r>
    <r>
      <rPr>
        <i/>
        <sz val="10.5"/>
        <color theme="1"/>
        <rFont val="Times New Roman"/>
        <charset val="134"/>
      </rPr>
      <t>T</t>
    </r>
  </si>
  <si>
    <r>
      <rPr>
        <sz val="10.5"/>
        <color theme="1"/>
        <rFont val="宋体"/>
        <charset val="134"/>
      </rPr>
      <t>流量</t>
    </r>
  </si>
  <si>
    <r>
      <rPr>
        <sz val="10.5"/>
        <color theme="1"/>
        <rFont val="宋体"/>
        <charset val="134"/>
      </rPr>
      <t>流速</t>
    </r>
  </si>
  <si>
    <r>
      <rPr>
        <sz val="10.5"/>
        <color theme="1"/>
        <rFont val="宋体"/>
        <charset val="134"/>
      </rPr>
      <t>雷诺数</t>
    </r>
    <r>
      <rPr>
        <sz val="10.5"/>
        <color theme="1"/>
        <rFont val="Times New Roman"/>
        <charset val="134"/>
      </rPr>
      <t>Re</t>
    </r>
  </si>
  <si>
    <t>λ</t>
  </si>
  <si>
    <t>(cm)</t>
  </si>
  <si>
    <t>(s)</t>
  </si>
  <si>
    <t>℃</t>
  </si>
  <si>
    <r>
      <rPr>
        <sz val="11"/>
        <color theme="1"/>
        <rFont val="Times New Roman"/>
        <charset val="134"/>
      </rPr>
      <t>×10</t>
    </r>
    <r>
      <rPr>
        <vertAlign val="superscript"/>
        <sz val="11"/>
        <color theme="1"/>
        <rFont val="Times New Roman"/>
        <charset val="134"/>
      </rPr>
      <t>-6</t>
    </r>
    <r>
      <rPr>
        <sz val="11"/>
        <color theme="1"/>
        <rFont val="Times New Roman"/>
        <charset val="134"/>
      </rPr>
      <t>（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/s</t>
    </r>
    <r>
      <rPr>
        <sz val="11"/>
        <color theme="1"/>
        <rFont val="Times New Roman"/>
        <charset val="134"/>
      </rPr>
      <t>）</t>
    </r>
  </si>
  <si>
    <r>
      <rPr>
        <sz val="11"/>
        <color theme="1"/>
        <rFont val="Times New Roman"/>
        <charset val="134"/>
      </rPr>
      <t>(m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/s)</t>
    </r>
  </si>
  <si>
    <t>(m/s)</t>
  </si>
  <si>
    <r>
      <rPr>
        <sz val="11"/>
        <color theme="1"/>
        <rFont val="Times New Roman"/>
        <charset val="134"/>
      </rPr>
      <t>ln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</si>
  <si>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ln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hf</t>
    </r>
    <r>
      <rPr>
        <sz val="11"/>
        <color theme="1"/>
        <rFont val="宋体"/>
        <charset val="134"/>
      </rPr>
      <t>）</t>
    </r>
  </si>
  <si>
    <t>ln(Re)</t>
  </si>
  <si>
    <t>ln(λ)</t>
  </si>
  <si>
    <t>紊流</t>
  </si>
  <si>
    <t>层流</t>
  </si>
  <si>
    <r>
      <rPr>
        <sz val="11"/>
        <color theme="1"/>
        <rFont val="宋体"/>
        <charset val="134"/>
      </rPr>
      <t>管径</t>
    </r>
    <r>
      <rPr>
        <sz val="11"/>
        <color theme="1"/>
        <rFont val="Times New Roman"/>
        <charset val="134"/>
      </rPr>
      <t>d</t>
    </r>
  </si>
  <si>
    <t>cm</t>
  </si>
  <si>
    <r>
      <rPr>
        <sz val="11"/>
        <color theme="1"/>
        <rFont val="宋体"/>
        <charset val="134"/>
      </rPr>
      <t>管长</t>
    </r>
    <r>
      <rPr>
        <sz val="11"/>
        <color theme="1"/>
        <rFont val="Times New Roman"/>
        <charset val="134"/>
      </rPr>
      <t>l</t>
    </r>
  </si>
  <si>
    <r>
      <rPr>
        <sz val="11"/>
        <color theme="1"/>
        <rFont val="宋体"/>
        <charset val="134"/>
      </rPr>
      <t>水槽面积</t>
    </r>
    <r>
      <rPr>
        <sz val="11"/>
        <color theme="1"/>
        <rFont val="Times New Roman"/>
        <charset val="134"/>
      </rPr>
      <t>A</t>
    </r>
  </si>
  <si>
    <t>cm2</t>
  </si>
</sst>
</file>

<file path=xl/styles.xml><?xml version="1.0" encoding="utf-8"?>
<styleSheet xmlns="http://schemas.openxmlformats.org/spreadsheetml/2006/main">
  <numFmts count="12">
    <numFmt numFmtId="176" formatCode="0.000_ "/>
    <numFmt numFmtId="177" formatCode="0.0000_);\(0.0000\)"/>
    <numFmt numFmtId="44" formatCode="_ &quot;￥&quot;* #,##0.00_ ;_ &quot;￥&quot;* \-#,##0.00_ ;_ &quot;￥&quot;* &quot;-&quot;??_ ;_ @_ "/>
    <numFmt numFmtId="178" formatCode="0.00_);\(0.00\)"/>
    <numFmt numFmtId="179" formatCode="0.00_);[Red]\(0.00\)"/>
    <numFmt numFmtId="42" formatCode="_ &quot;￥&quot;* #,##0_ ;_ &quot;￥&quot;* \-#,##0_ ;_ &quot;￥&quot;* &quot;-&quot;_ ;_ @_ "/>
    <numFmt numFmtId="180" formatCode="0.00_ "/>
    <numFmt numFmtId="41" formatCode="_ * #,##0_ ;_ * \-#,##0_ ;_ * &quot;-&quot;_ ;_ @_ "/>
    <numFmt numFmtId="43" formatCode="_ * #,##0.00_ ;_ * \-#,##0.00_ ;_ * &quot;-&quot;??_ ;_ @_ "/>
    <numFmt numFmtId="181" formatCode="0.00000000_);[Red]\(0.00000000\)"/>
    <numFmt numFmtId="182" formatCode="0.0_ "/>
    <numFmt numFmtId="183" formatCode="0.0000_ "/>
  </numFmts>
  <fonts count="3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theme="1"/>
      <name val="Times New Roman"/>
      <charset val="134"/>
    </font>
    <font>
      <i/>
      <sz val="10.5"/>
      <color theme="1"/>
      <name val="Times New Roman"/>
      <charset val="134"/>
    </font>
    <font>
      <sz val="10.5"/>
      <color theme="1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vertAlign val="subscript"/>
      <sz val="10.5"/>
      <color theme="1"/>
      <name val="Times New Roman"/>
      <charset val="134"/>
    </font>
    <font>
      <i/>
      <vertAlign val="subscript"/>
      <sz val="10.5"/>
      <color theme="1"/>
      <name val="Times New Roman"/>
      <charset val="134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2" borderId="12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25" fillId="31" borderId="11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82" fontId="1" fillId="0" borderId="2" xfId="0" applyNumberFormat="1" applyFont="1" applyBorder="1" applyAlignment="1">
      <alignment horizontal="center" vertical="center" wrapText="1"/>
    </xf>
    <xf numFmtId="183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ln(hf)——ln(v)</a:t>
            </a:r>
            <a:r>
              <a:rPr lang="zh-CN" altLang="en-US"/>
              <a:t>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"紊流区"</c:f>
              <c:strCache>
                <c:ptCount val="1"/>
                <c:pt idx="0">
                  <c:v>紊流区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6969360043867"/>
                  <c:y val="0.122365951221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Sheet1!$T$4:$T$14</c:f>
              <c:numCache>
                <c:formatCode>0.00_ </c:formatCode>
                <c:ptCount val="11"/>
                <c:pt idx="0">
                  <c:v>0.771977147574568</c:v>
                </c:pt>
                <c:pt idx="1">
                  <c:v>0.713293081936231</c:v>
                </c:pt>
                <c:pt idx="2">
                  <c:v>0.60642993639387</c:v>
                </c:pt>
                <c:pt idx="3">
                  <c:v>0.521584432865596</c:v>
                </c:pt>
                <c:pt idx="4">
                  <c:v>0.367082576289894</c:v>
                </c:pt>
                <c:pt idx="5">
                  <c:v>0.180508541656266</c:v>
                </c:pt>
                <c:pt idx="6">
                  <c:v>0.068355037793842</c:v>
                </c:pt>
                <c:pt idx="7">
                  <c:v>-0.221993601321242</c:v>
                </c:pt>
                <c:pt idx="8">
                  <c:v>-0.734479567024636</c:v>
                </c:pt>
                <c:pt idx="9">
                  <c:v>-1.22578602846909</c:v>
                </c:pt>
                <c:pt idx="10">
                  <c:v>-1.35580710594887</c:v>
                </c:pt>
              </c:numCache>
            </c:numRef>
          </c:xVal>
          <c:yVal>
            <c:numRef>
              <c:f>Sheet1!$U$4:$U$14</c:f>
              <c:numCache>
                <c:formatCode>0.00_ </c:formatCode>
                <c:ptCount val="11"/>
                <c:pt idx="0">
                  <c:v>5.06177190954364</c:v>
                </c:pt>
                <c:pt idx="1">
                  <c:v>4.97880057057624</c:v>
                </c:pt>
                <c:pt idx="2">
                  <c:v>4.82454665073306</c:v>
                </c:pt>
                <c:pt idx="3">
                  <c:v>4.64150211523548</c:v>
                </c:pt>
                <c:pt idx="4">
                  <c:v>4.41582401425717</c:v>
                </c:pt>
                <c:pt idx="5">
                  <c:v>4.19900483276553</c:v>
                </c:pt>
                <c:pt idx="6">
                  <c:v>3.98434366700777</c:v>
                </c:pt>
                <c:pt idx="7">
                  <c:v>3.54558628428746</c:v>
                </c:pt>
                <c:pt idx="8">
                  <c:v>2.73760900334375</c:v>
                </c:pt>
                <c:pt idx="9">
                  <c:v>1.97823903617067</c:v>
                </c:pt>
                <c:pt idx="10">
                  <c:v>1.65632149833295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"层流区"</c:f>
              <c:strCache>
                <c:ptCount val="1"/>
                <c:pt idx="0">
                  <c:v>层流区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808927785760884"/>
                  <c:y val="0.001971371154265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Sheet1!$T$15:$T$24</c:f>
              <c:numCache>
                <c:formatCode>0.00_ </c:formatCode>
                <c:ptCount val="10"/>
                <c:pt idx="0">
                  <c:v>-1.53746910462284</c:v>
                </c:pt>
                <c:pt idx="1">
                  <c:v>-1.54214987086661</c:v>
                </c:pt>
                <c:pt idx="2">
                  <c:v>-1.52921329908487</c:v>
                </c:pt>
                <c:pt idx="3">
                  <c:v>-1.6548855310439</c:v>
                </c:pt>
                <c:pt idx="4">
                  <c:v>-1.78659002204133</c:v>
                </c:pt>
                <c:pt idx="5">
                  <c:v>-1.82499679456733</c:v>
                </c:pt>
                <c:pt idx="6">
                  <c:v>-2.35027913536438</c:v>
                </c:pt>
                <c:pt idx="7">
                  <c:v>-2.63345921913698</c:v>
                </c:pt>
                <c:pt idx="8">
                  <c:v>-2.87116304330236</c:v>
                </c:pt>
                <c:pt idx="9">
                  <c:v>-3.16741229570532</c:v>
                </c:pt>
              </c:numCache>
            </c:numRef>
          </c:xVal>
          <c:yVal>
            <c:numRef>
              <c:f>Sheet1!$U$15:$U$24</c:f>
              <c:numCache>
                <c:formatCode>0.00_ </c:formatCode>
                <c:ptCount val="10"/>
                <c:pt idx="0">
                  <c:v>1.18784342239605</c:v>
                </c:pt>
                <c:pt idx="1">
                  <c:v>1.15688119679209</c:v>
                </c:pt>
                <c:pt idx="2">
                  <c:v>1.27536280041261</c:v>
                </c:pt>
                <c:pt idx="3">
                  <c:v>0.841567185678222</c:v>
                </c:pt>
                <c:pt idx="4">
                  <c:v>0.746687947487975</c:v>
                </c:pt>
                <c:pt idx="5">
                  <c:v>0.732367893713226</c:v>
                </c:pt>
                <c:pt idx="6">
                  <c:v>0.254642218373586</c:v>
                </c:pt>
                <c:pt idx="7">
                  <c:v>0.0487901641694293</c:v>
                </c:pt>
                <c:pt idx="8">
                  <c:v>-0.174353387144774</c:v>
                </c:pt>
                <c:pt idx="9">
                  <c:v>-0.430782916092467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38822"/>
        <c:axId val="144806045"/>
      </c:scatterChart>
      <c:valAx>
        <c:axId val="526038822"/>
        <c:scaling>
          <c:orientation val="minMax"/>
          <c:max val="1"/>
          <c:min val="-3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ln(v)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06045"/>
        <c:crosses val="autoZero"/>
        <c:crossBetween val="midCat"/>
      </c:valAx>
      <c:valAx>
        <c:axId val="144806045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ln(hf)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3882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ln(</a:t>
            </a:r>
            <a:r>
              <a:rPr lang="el-GR" altLang="zh-CN"/>
              <a:t>λ)——</a:t>
            </a:r>
            <a:r>
              <a:rPr lang="en-US" altLang="zh-CN"/>
              <a:t>ln(Re)</a:t>
            </a:r>
            <a:r>
              <a:rPr lang="zh-CN" altLang="en-US"/>
              <a:t>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"紊流区"</c:f>
              <c:strCache>
                <c:ptCount val="1"/>
                <c:pt idx="0">
                  <c:v>紊流区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0719892368837"/>
                  <c:y val="-0.2161351695417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Sheet1!$V$4:$V$14</c:f>
              <c:numCache>
                <c:formatCode>0.00_ </c:formatCode>
                <c:ptCount val="11"/>
                <c:pt idx="0">
                  <c:v>9.88882717646341</c:v>
                </c:pt>
                <c:pt idx="1">
                  <c:v>9.83014311082507</c:v>
                </c:pt>
                <c:pt idx="2">
                  <c:v>9.72327996528271</c:v>
                </c:pt>
                <c:pt idx="3">
                  <c:v>9.63843446175444</c:v>
                </c:pt>
                <c:pt idx="4">
                  <c:v>9.48393260517874</c:v>
                </c:pt>
                <c:pt idx="5">
                  <c:v>9.31852825205282</c:v>
                </c:pt>
                <c:pt idx="6">
                  <c:v>9.18725634945324</c:v>
                </c:pt>
                <c:pt idx="7">
                  <c:v>8.91602610907531</c:v>
                </c:pt>
                <c:pt idx="8">
                  <c:v>8.38442174463476</c:v>
                </c:pt>
                <c:pt idx="9">
                  <c:v>7.89311528319031</c:v>
                </c:pt>
                <c:pt idx="10">
                  <c:v>7.76835556978626</c:v>
                </c:pt>
              </c:numCache>
            </c:numRef>
          </c:xVal>
          <c:yVal>
            <c:numRef>
              <c:f>Sheet1!$W$4:$W$14</c:f>
              <c:numCache>
                <c:formatCode>0.00_ </c:formatCode>
                <c:ptCount val="11"/>
                <c:pt idx="0">
                  <c:v>-3.6849271563712</c:v>
                </c:pt>
                <c:pt idx="1">
                  <c:v>-3.65053036406193</c:v>
                </c:pt>
                <c:pt idx="2">
                  <c:v>-3.59105799282039</c:v>
                </c:pt>
                <c:pt idx="3">
                  <c:v>-3.60441152126141</c:v>
                </c:pt>
                <c:pt idx="4">
                  <c:v>-3.52108590908832</c:v>
                </c:pt>
                <c:pt idx="5">
                  <c:v>-3.3647570213127</c:v>
                </c:pt>
                <c:pt idx="6">
                  <c:v>-3.35511117934562</c:v>
                </c:pt>
                <c:pt idx="7">
                  <c:v>-3.21317128383576</c:v>
                </c:pt>
                <c:pt idx="8">
                  <c:v>-2.99617663337268</c:v>
                </c:pt>
                <c:pt idx="9">
                  <c:v>-2.77293367765684</c:v>
                </c:pt>
                <c:pt idx="10">
                  <c:v>-2.83480906053501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"层流区"</c:f>
              <c:strCache>
                <c:ptCount val="1"/>
                <c:pt idx="0">
                  <c:v>层流区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73152432198397"/>
                  <c:y val="-0.0744722090188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Sheet1!$V$15:$V$24</c:f>
              <c:numCache>
                <c:formatCode>0.00_ </c:formatCode>
                <c:ptCount val="10"/>
                <c:pt idx="0">
                  <c:v>7.60055060577372</c:v>
                </c:pt>
                <c:pt idx="1">
                  <c:v>7.59861779775762</c:v>
                </c:pt>
                <c:pt idx="2">
                  <c:v>7.59816555217696</c:v>
                </c:pt>
                <c:pt idx="3">
                  <c:v>7.47872530807361</c:v>
                </c:pt>
                <c:pt idx="4">
                  <c:v>7.35660585230553</c:v>
                </c:pt>
                <c:pt idx="5">
                  <c:v>7.3023820566945</c:v>
                </c:pt>
                <c:pt idx="6">
                  <c:v>6.79291673898247</c:v>
                </c:pt>
                <c:pt idx="7">
                  <c:v>6.53310353049332</c:v>
                </c:pt>
                <c:pt idx="8">
                  <c:v>6.29539970632793</c:v>
                </c:pt>
                <c:pt idx="9">
                  <c:v>5.96619854341219</c:v>
                </c:pt>
              </c:numCache>
            </c:numRef>
          </c:xVal>
          <c:yVal>
            <c:numRef>
              <c:f>Sheet1!$W$15:$W$24</c:f>
              <c:numCache>
                <c:formatCode>0.00_ </c:formatCode>
                <c:ptCount val="10"/>
                <c:pt idx="0">
                  <c:v>-2.93996313912397</c:v>
                </c:pt>
                <c:pt idx="1">
                  <c:v>-2.9615638322404</c:v>
                </c:pt>
                <c:pt idx="2">
                  <c:v>-2.86895537218335</c:v>
                </c:pt>
                <c:pt idx="3">
                  <c:v>-3.05140652299969</c:v>
                </c:pt>
                <c:pt idx="4">
                  <c:v>-2.88287677919508</c:v>
                </c:pt>
                <c:pt idx="5">
                  <c:v>-2.82038328791781</c:v>
                </c:pt>
                <c:pt idx="6">
                  <c:v>-2.24754428166335</c:v>
                </c:pt>
                <c:pt idx="7">
                  <c:v>-1.88703616832232</c:v>
                </c:pt>
                <c:pt idx="8">
                  <c:v>-1.63477207130576</c:v>
                </c:pt>
                <c:pt idx="9">
                  <c:v>-1.29870309544753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38822"/>
        <c:axId val="144806045"/>
      </c:scatterChart>
      <c:valAx>
        <c:axId val="526038822"/>
        <c:scaling>
          <c:orientation val="minMax"/>
          <c:max val="9.5"/>
          <c:min val="6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ln(Re)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06045"/>
        <c:crosses val="autoZero"/>
        <c:crossBetween val="midCat"/>
      </c:valAx>
      <c:valAx>
        <c:axId val="144806045"/>
        <c:scaling>
          <c:orientation val="minMax"/>
          <c:max val="-1.5"/>
          <c:min val="-3.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ln(</a:t>
                </a:r>
                <a:r>
                  <a:rPr lang="el-GR"/>
                  <a:t>λ)</a:t>
                </a:r>
                <a:endParaRPr lang="el-G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3882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120650</xdr:colOff>
      <xdr:row>32</xdr:row>
      <xdr:rowOff>146050</xdr:rowOff>
    </xdr:from>
    <xdr:to>
      <xdr:col>17</xdr:col>
      <xdr:colOff>691515</xdr:colOff>
      <xdr:row>54</xdr:row>
      <xdr:rowOff>158115</xdr:rowOff>
    </xdr:to>
    <xdr:graphicFrame>
      <xdr:nvGraphicFramePr>
        <xdr:cNvPr id="2" name="图表 1"/>
        <xdr:cNvGraphicFramePr/>
      </xdr:nvGraphicFramePr>
      <xdr:xfrm>
        <a:off x="5298440" y="5977890"/>
        <a:ext cx="6285865" cy="3867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117511</xdr:colOff>
      <xdr:row>33</xdr:row>
      <xdr:rowOff>14597</xdr:rowOff>
    </xdr:from>
    <xdr:to>
      <xdr:col>26</xdr:col>
      <xdr:colOff>78776</xdr:colOff>
      <xdr:row>55</xdr:row>
      <xdr:rowOff>26662</xdr:rowOff>
    </xdr:to>
    <xdr:graphicFrame>
      <xdr:nvGraphicFramePr>
        <xdr:cNvPr id="4" name="图表 3"/>
        <xdr:cNvGraphicFramePr/>
      </xdr:nvGraphicFramePr>
      <xdr:xfrm>
        <a:off x="11890375" y="6021070"/>
        <a:ext cx="6190615" cy="3867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"/>
  <sheetViews>
    <sheetView tabSelected="1" zoomScale="83" zoomScaleNormal="83" topLeftCell="E22" workbookViewId="0">
      <selection activeCell="V57" sqref="V57"/>
    </sheetView>
  </sheetViews>
  <sheetFormatPr defaultColWidth="9" defaultRowHeight="13.8"/>
  <cols>
    <col min="1" max="1" width="10.6666666666667" style="1" customWidth="1"/>
    <col min="2" max="2" width="7.5" style="1" customWidth="1"/>
    <col min="3" max="3" width="6.5" style="1" customWidth="1"/>
    <col min="4" max="4" width="7.5" style="1" customWidth="1"/>
    <col min="5" max="5" width="8.33333333333333" style="1" customWidth="1"/>
    <col min="6" max="6" width="11.8333333333333" style="1" customWidth="1"/>
    <col min="7" max="7" width="7.5" style="1" customWidth="1"/>
    <col min="8" max="8" width="6.66666666666667" style="1" customWidth="1"/>
    <col min="9" max="9" width="9" style="1"/>
    <col min="10" max="10" width="4.5" style="1" customWidth="1"/>
    <col min="11" max="11" width="6.66666666666667" style="1" customWidth="1"/>
    <col min="12" max="12" width="14.3333333333333" style="1" customWidth="1"/>
    <col min="13" max="13" width="11.6666666666667" style="1" customWidth="1"/>
    <col min="14" max="14" width="7.66666666666667" style="1" customWidth="1"/>
    <col min="15" max="18" width="12.8333333333333" style="1" customWidth="1"/>
    <col min="19" max="19" width="9" style="1"/>
    <col min="20" max="21" width="14" style="1"/>
    <col min="22" max="22" width="12.8333333333333" style="1"/>
    <col min="23" max="23" width="14" style="1"/>
    <col min="24" max="16384" width="9" style="1"/>
  </cols>
  <sheetData>
    <row r="1" ht="14" customHeight="1" spans="1:20">
      <c r="A1" s="2" t="s">
        <v>0</v>
      </c>
      <c r="B1" s="3" t="s">
        <v>1</v>
      </c>
      <c r="C1" s="3"/>
      <c r="D1" s="3"/>
      <c r="E1" s="3" t="s">
        <v>2</v>
      </c>
      <c r="F1" s="3"/>
      <c r="G1" s="3"/>
      <c r="H1" s="3"/>
      <c r="J1" s="2" t="s">
        <v>0</v>
      </c>
      <c r="K1" s="2" t="s">
        <v>3</v>
      </c>
      <c r="L1" s="2" t="s">
        <v>4</v>
      </c>
      <c r="M1" s="3" t="s">
        <v>5</v>
      </c>
      <c r="N1" s="3"/>
      <c r="O1" s="3"/>
      <c r="P1" s="3"/>
      <c r="Q1" s="25"/>
      <c r="R1" s="21"/>
      <c r="T1" s="1" t="s">
        <v>6</v>
      </c>
    </row>
    <row r="2" ht="28.8" spans="1:18">
      <c r="A2" s="4"/>
      <c r="B2" s="5" t="s">
        <v>7</v>
      </c>
      <c r="C2" s="5" t="s">
        <v>8</v>
      </c>
      <c r="D2" s="5" t="s">
        <v>9</v>
      </c>
      <c r="E2" s="3" t="s">
        <v>10</v>
      </c>
      <c r="F2" s="6" t="s">
        <v>11</v>
      </c>
      <c r="G2" s="3" t="s">
        <v>12</v>
      </c>
      <c r="H2" s="3" t="s">
        <v>3</v>
      </c>
      <c r="J2" s="4"/>
      <c r="K2" s="13"/>
      <c r="L2" s="13"/>
      <c r="M2" s="2" t="s">
        <v>13</v>
      </c>
      <c r="N2" s="2" t="s">
        <v>14</v>
      </c>
      <c r="O2" s="2" t="s">
        <v>15</v>
      </c>
      <c r="P2" s="2" t="s">
        <v>16</v>
      </c>
      <c r="Q2" s="25"/>
      <c r="R2" s="21"/>
    </row>
    <row r="3" ht="14.4" spans="1:23">
      <c r="A3" s="4"/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18</v>
      </c>
      <c r="H3" s="3" t="s">
        <v>19</v>
      </c>
      <c r="J3" s="13"/>
      <c r="K3" s="14" t="s">
        <v>19</v>
      </c>
      <c r="L3" s="14" t="s">
        <v>20</v>
      </c>
      <c r="M3" s="14" t="s">
        <v>21</v>
      </c>
      <c r="N3" s="14" t="s">
        <v>22</v>
      </c>
      <c r="O3" s="3"/>
      <c r="P3" s="14"/>
      <c r="Q3" s="21"/>
      <c r="R3" s="21"/>
      <c r="T3" s="1" t="s">
        <v>23</v>
      </c>
      <c r="U3" s="1" t="s">
        <v>24</v>
      </c>
      <c r="V3" s="1" t="s">
        <v>25</v>
      </c>
      <c r="W3" s="1" t="s">
        <v>26</v>
      </c>
    </row>
    <row r="4" spans="1:23">
      <c r="A4" s="3">
        <v>1</v>
      </c>
      <c r="B4" s="7">
        <v>162.2</v>
      </c>
      <c r="C4" s="7">
        <v>4.33</v>
      </c>
      <c r="D4" s="8">
        <f t="shared" ref="D4:D24" si="0">B4-C4</f>
        <v>157.87</v>
      </c>
      <c r="E4" s="9">
        <v>3.4</v>
      </c>
      <c r="F4" s="9">
        <v>18.8</v>
      </c>
      <c r="G4" s="9">
        <v>19.87</v>
      </c>
      <c r="H4" s="9">
        <v>26.03</v>
      </c>
      <c r="J4" s="3">
        <v>1</v>
      </c>
      <c r="K4" s="15">
        <v>26.03</v>
      </c>
      <c r="L4" s="16">
        <f t="shared" ref="L4:L15" si="1">0.879+(K4-26)*(0.859-0.879)</f>
        <v>0.8784</v>
      </c>
      <c r="M4" s="17">
        <f t="shared" ref="M4:M24" si="2">(F4-E4)*$B$28/(G4*1000000)</f>
        <v>0.000108776547559134</v>
      </c>
      <c r="N4" s="18">
        <f t="shared" ref="N4:N24" si="3">M4/((PI()*0.008*0.008)/4)</f>
        <v>2.16404065456336</v>
      </c>
      <c r="O4" s="19">
        <f t="shared" ref="O4:O24" si="4">(1000000*N4*0.008)/L4</f>
        <v>19708.9312801763</v>
      </c>
      <c r="P4" s="20">
        <f t="shared" ref="P4:P24" si="5">(D4*0.008*19.6)/(100*2.106*N4*N4)</f>
        <v>0.0250990029592803</v>
      </c>
      <c r="Q4" s="26"/>
      <c r="R4" s="21">
        <f>0.3164/(O4^0.25)</f>
        <v>0.026703654849243</v>
      </c>
      <c r="S4" s="27" t="s">
        <v>27</v>
      </c>
      <c r="T4" s="28">
        <f>LN(N4)</f>
        <v>0.771977147574568</v>
      </c>
      <c r="U4" s="28">
        <f>LN(D4)</f>
        <v>5.06177190954364</v>
      </c>
      <c r="V4" s="28">
        <f>LN(O4)</f>
        <v>9.88882717646341</v>
      </c>
      <c r="W4" s="28">
        <f>LN(P4)</f>
        <v>-3.6849271563712</v>
      </c>
    </row>
    <row r="5" spans="1:23">
      <c r="A5" s="3">
        <v>2</v>
      </c>
      <c r="B5" s="7">
        <v>157.48</v>
      </c>
      <c r="C5" s="7">
        <v>12.18</v>
      </c>
      <c r="D5" s="8">
        <f t="shared" si="0"/>
        <v>145.3</v>
      </c>
      <c r="E5" s="9">
        <v>3.6</v>
      </c>
      <c r="F5" s="9">
        <v>18.4</v>
      </c>
      <c r="G5" s="9">
        <v>20.25</v>
      </c>
      <c r="H5" s="9">
        <v>26.03</v>
      </c>
      <c r="J5" s="3">
        <v>2</v>
      </c>
      <c r="K5" s="15">
        <v>26.03</v>
      </c>
      <c r="L5" s="16">
        <f t="shared" si="1"/>
        <v>0.8784</v>
      </c>
      <c r="M5" s="17">
        <f t="shared" si="2"/>
        <v>0.000102576790123457</v>
      </c>
      <c r="N5" s="18">
        <f t="shared" si="3"/>
        <v>2.04070039933101</v>
      </c>
      <c r="O5" s="19">
        <f t="shared" si="4"/>
        <v>18585.6138372587</v>
      </c>
      <c r="P5" s="20">
        <f t="shared" si="5"/>
        <v>0.0259773476729468</v>
      </c>
      <c r="Q5" s="26"/>
      <c r="R5" s="21">
        <f t="shared" ref="R5:R14" si="6">0.3164/(O5^0.25)</f>
        <v>0.0270983125437119</v>
      </c>
      <c r="S5" s="27"/>
      <c r="T5" s="28">
        <f t="shared" ref="T5:T19" si="7">LN(N5)</f>
        <v>0.713293081936231</v>
      </c>
      <c r="U5" s="28">
        <f t="shared" ref="U5:U19" si="8">LN(D5)</f>
        <v>4.97880057057624</v>
      </c>
      <c r="V5" s="28">
        <f t="shared" ref="V5:V19" si="9">LN(O5)</f>
        <v>9.83014311082507</v>
      </c>
      <c r="W5" s="28">
        <f>LN(P5)</f>
        <v>-3.65053036406193</v>
      </c>
    </row>
    <row r="6" spans="1:23">
      <c r="A6" s="3">
        <v>3</v>
      </c>
      <c r="B6" s="7">
        <v>148.65</v>
      </c>
      <c r="C6" s="7">
        <v>24.12</v>
      </c>
      <c r="D6" s="8">
        <f t="shared" si="0"/>
        <v>124.53</v>
      </c>
      <c r="E6" s="9">
        <v>3.5</v>
      </c>
      <c r="F6" s="9">
        <v>16.8</v>
      </c>
      <c r="G6" s="9">
        <v>20.25</v>
      </c>
      <c r="H6" s="9">
        <v>26.03</v>
      </c>
      <c r="J6" s="3">
        <v>3</v>
      </c>
      <c r="K6" s="15">
        <v>26.03</v>
      </c>
      <c r="L6" s="16">
        <f t="shared" si="1"/>
        <v>0.8784</v>
      </c>
      <c r="M6" s="17">
        <f t="shared" si="2"/>
        <v>9.21804938271605e-5</v>
      </c>
      <c r="N6" s="18">
        <f t="shared" si="3"/>
        <v>1.83387265615557</v>
      </c>
      <c r="O6" s="19">
        <f t="shared" si="4"/>
        <v>16701.9367591582</v>
      </c>
      <c r="P6" s="20">
        <f t="shared" si="5"/>
        <v>0.0275691470284401</v>
      </c>
      <c r="Q6" s="26"/>
      <c r="R6" s="21">
        <f t="shared" si="6"/>
        <v>0.0278320224527286</v>
      </c>
      <c r="S6" s="27"/>
      <c r="T6" s="28">
        <f t="shared" si="7"/>
        <v>0.60642993639387</v>
      </c>
      <c r="U6" s="28">
        <f t="shared" si="8"/>
        <v>4.82454665073306</v>
      </c>
      <c r="V6" s="28">
        <f t="shared" si="9"/>
        <v>9.72327996528271</v>
      </c>
      <c r="W6" s="28">
        <f>LN(P6)</f>
        <v>-3.59105799282039</v>
      </c>
    </row>
    <row r="7" spans="1:23">
      <c r="A7" s="3">
        <v>4</v>
      </c>
      <c r="B7" s="7">
        <v>139.95</v>
      </c>
      <c r="C7" s="7">
        <v>36.25</v>
      </c>
      <c r="D7" s="8">
        <f t="shared" si="0"/>
        <v>103.7</v>
      </c>
      <c r="E7" s="9">
        <v>3.4</v>
      </c>
      <c r="F7" s="9">
        <v>15.6</v>
      </c>
      <c r="G7" s="9">
        <v>20.22</v>
      </c>
      <c r="H7" s="9">
        <v>26.03</v>
      </c>
      <c r="J7" s="3">
        <v>4</v>
      </c>
      <c r="K7" s="15">
        <v>26.03</v>
      </c>
      <c r="L7" s="16">
        <f t="shared" si="1"/>
        <v>0.8784</v>
      </c>
      <c r="M7" s="17">
        <f t="shared" si="2"/>
        <v>8.46819980217606e-5</v>
      </c>
      <c r="N7" s="18">
        <f t="shared" si="3"/>
        <v>1.68469482200766</v>
      </c>
      <c r="O7" s="19">
        <f t="shared" si="4"/>
        <v>15343.3043898694</v>
      </c>
      <c r="P7" s="20">
        <f t="shared" si="5"/>
        <v>0.0272034487548101</v>
      </c>
      <c r="Q7" s="26"/>
      <c r="R7" s="21">
        <f t="shared" si="6"/>
        <v>0.028428683573415</v>
      </c>
      <c r="S7" s="27"/>
      <c r="T7" s="28">
        <f t="shared" si="7"/>
        <v>0.521584432865596</v>
      </c>
      <c r="U7" s="28">
        <f t="shared" si="8"/>
        <v>4.64150211523548</v>
      </c>
      <c r="V7" s="28">
        <f t="shared" si="9"/>
        <v>9.63843446175444</v>
      </c>
      <c r="W7" s="28">
        <f>LN(P7)</f>
        <v>-3.60441152126141</v>
      </c>
    </row>
    <row r="8" spans="1:23">
      <c r="A8" s="3">
        <v>5</v>
      </c>
      <c r="B8" s="7">
        <v>131.1</v>
      </c>
      <c r="C8" s="7">
        <v>48.35</v>
      </c>
      <c r="D8" s="8">
        <f t="shared" si="0"/>
        <v>82.75</v>
      </c>
      <c r="E8" s="9">
        <v>3.4</v>
      </c>
      <c r="F8" s="9">
        <v>13.9</v>
      </c>
      <c r="G8" s="9">
        <v>20.31</v>
      </c>
      <c r="H8" s="9">
        <v>26.03</v>
      </c>
      <c r="J8" s="3">
        <v>5</v>
      </c>
      <c r="K8" s="15">
        <v>26.03</v>
      </c>
      <c r="L8" s="16">
        <f t="shared" si="1"/>
        <v>0.8784</v>
      </c>
      <c r="M8" s="17">
        <f t="shared" si="2"/>
        <v>7.25590841949778e-5</v>
      </c>
      <c r="N8" s="18">
        <f t="shared" si="3"/>
        <v>1.44351711448147</v>
      </c>
      <c r="O8" s="19">
        <f t="shared" si="4"/>
        <v>13146.7861063886</v>
      </c>
      <c r="P8" s="20">
        <f t="shared" si="5"/>
        <v>0.0295673103177242</v>
      </c>
      <c r="Q8" s="26"/>
      <c r="R8" s="21">
        <f t="shared" si="6"/>
        <v>0.0295482371216517</v>
      </c>
      <c r="S8" s="27"/>
      <c r="T8" s="28">
        <f t="shared" si="7"/>
        <v>0.367082576289894</v>
      </c>
      <c r="U8" s="28">
        <f t="shared" si="8"/>
        <v>4.41582401425717</v>
      </c>
      <c r="V8" s="28">
        <f t="shared" si="9"/>
        <v>9.48393260517874</v>
      </c>
      <c r="W8" s="28">
        <f t="shared" ref="W8:W19" si="10">LN(P8)</f>
        <v>-3.52108590908832</v>
      </c>
    </row>
    <row r="9" spans="1:23">
      <c r="A9" s="3">
        <v>6</v>
      </c>
      <c r="B9" s="7">
        <v>124.3</v>
      </c>
      <c r="C9" s="7">
        <v>57.68</v>
      </c>
      <c r="D9" s="8">
        <f t="shared" si="0"/>
        <v>66.62</v>
      </c>
      <c r="E9" s="9">
        <v>3.5</v>
      </c>
      <c r="F9" s="9">
        <v>12.2</v>
      </c>
      <c r="G9" s="9">
        <v>20.28</v>
      </c>
      <c r="H9" s="9">
        <v>26.95</v>
      </c>
      <c r="J9" s="3">
        <v>6</v>
      </c>
      <c r="K9" s="15">
        <v>26.95</v>
      </c>
      <c r="L9" s="16">
        <f t="shared" si="1"/>
        <v>0.86</v>
      </c>
      <c r="M9" s="17">
        <f t="shared" si="2"/>
        <v>6.02093195266272e-5</v>
      </c>
      <c r="N9" s="18">
        <f t="shared" si="3"/>
        <v>1.19782635285776</v>
      </c>
      <c r="O9" s="19">
        <f t="shared" si="4"/>
        <v>11142.5707242583</v>
      </c>
      <c r="P9" s="20">
        <f t="shared" si="5"/>
        <v>0.0345704149716407</v>
      </c>
      <c r="Q9" s="26"/>
      <c r="R9" s="21">
        <f t="shared" si="6"/>
        <v>0.0307957031730909</v>
      </c>
      <c r="S9" s="27"/>
      <c r="T9" s="28">
        <f t="shared" si="7"/>
        <v>0.180508541656266</v>
      </c>
      <c r="U9" s="28">
        <f t="shared" si="8"/>
        <v>4.19900483276553</v>
      </c>
      <c r="V9" s="28">
        <f t="shared" si="9"/>
        <v>9.31852825205282</v>
      </c>
      <c r="W9" s="28">
        <f t="shared" si="10"/>
        <v>-3.3647570213127</v>
      </c>
    </row>
    <row r="10" spans="1:23">
      <c r="A10" s="3">
        <v>7</v>
      </c>
      <c r="B10" s="7">
        <v>118.65</v>
      </c>
      <c r="C10" s="7">
        <v>64.9</v>
      </c>
      <c r="D10" s="8">
        <f t="shared" si="0"/>
        <v>53.75</v>
      </c>
      <c r="E10" s="9">
        <v>3.4</v>
      </c>
      <c r="F10" s="9">
        <v>11.2</v>
      </c>
      <c r="G10" s="9">
        <v>20.34</v>
      </c>
      <c r="H10" s="9">
        <v>26.12</v>
      </c>
      <c r="J10" s="3">
        <v>7</v>
      </c>
      <c r="K10" s="15">
        <v>26.12</v>
      </c>
      <c r="L10" s="16">
        <f t="shared" si="1"/>
        <v>0.8766</v>
      </c>
      <c r="M10" s="17">
        <f t="shared" si="2"/>
        <v>5.38215339233038e-5</v>
      </c>
      <c r="N10" s="18">
        <f t="shared" si="3"/>
        <v>1.07074539608524</v>
      </c>
      <c r="O10" s="19">
        <f t="shared" si="4"/>
        <v>9771.80375163351</v>
      </c>
      <c r="P10" s="20">
        <f t="shared" si="5"/>
        <v>0.0349054891695728</v>
      </c>
      <c r="Q10" s="26"/>
      <c r="R10" s="21">
        <f t="shared" si="6"/>
        <v>0.0318231225104424</v>
      </c>
      <c r="S10" s="27"/>
      <c r="T10" s="28">
        <f t="shared" si="7"/>
        <v>0.068355037793842</v>
      </c>
      <c r="U10" s="28">
        <f t="shared" si="8"/>
        <v>3.98434366700777</v>
      </c>
      <c r="V10" s="28">
        <f t="shared" si="9"/>
        <v>9.18725634945324</v>
      </c>
      <c r="W10" s="28">
        <f t="shared" si="10"/>
        <v>-3.35511117934562</v>
      </c>
    </row>
    <row r="11" spans="1:23">
      <c r="A11" s="3">
        <v>8</v>
      </c>
      <c r="B11" s="7">
        <v>110.48</v>
      </c>
      <c r="C11" s="7">
        <v>75.82</v>
      </c>
      <c r="D11" s="8">
        <f t="shared" si="0"/>
        <v>34.66</v>
      </c>
      <c r="E11" s="9">
        <v>3.6</v>
      </c>
      <c r="F11" s="9">
        <v>9.4</v>
      </c>
      <c r="G11" s="9">
        <v>20.22</v>
      </c>
      <c r="H11" s="9">
        <v>26.95</v>
      </c>
      <c r="J11" s="3">
        <v>8</v>
      </c>
      <c r="K11" s="15">
        <v>26.95</v>
      </c>
      <c r="L11" s="16">
        <f t="shared" si="1"/>
        <v>0.86</v>
      </c>
      <c r="M11" s="17">
        <f t="shared" si="2"/>
        <v>4.02586547972305e-5</v>
      </c>
      <c r="N11" s="18">
        <f t="shared" si="3"/>
        <v>0.800920489151184</v>
      </c>
      <c r="O11" s="19">
        <f t="shared" si="4"/>
        <v>7450.42315489474</v>
      </c>
      <c r="P11" s="20">
        <f t="shared" si="5"/>
        <v>0.0402288337164055</v>
      </c>
      <c r="Q11" s="26"/>
      <c r="R11" s="21">
        <f t="shared" si="6"/>
        <v>0.0340558120147642</v>
      </c>
      <c r="S11" s="27"/>
      <c r="T11" s="28">
        <f t="shared" si="7"/>
        <v>-0.221993601321242</v>
      </c>
      <c r="U11" s="28">
        <f t="shared" si="8"/>
        <v>3.54558628428746</v>
      </c>
      <c r="V11" s="28">
        <f t="shared" si="9"/>
        <v>8.91602610907531</v>
      </c>
      <c r="W11" s="28">
        <f t="shared" si="10"/>
        <v>-3.21317128383576</v>
      </c>
    </row>
    <row r="12" spans="1:23">
      <c r="A12" s="3">
        <v>9</v>
      </c>
      <c r="B12" s="7">
        <v>102.2</v>
      </c>
      <c r="C12" s="7">
        <v>86.75</v>
      </c>
      <c r="D12" s="8">
        <f t="shared" si="0"/>
        <v>15.45</v>
      </c>
      <c r="E12" s="9">
        <v>3.2</v>
      </c>
      <c r="F12" s="9">
        <v>6.7</v>
      </c>
      <c r="G12" s="9">
        <v>20.37</v>
      </c>
      <c r="H12" s="9">
        <v>26.12</v>
      </c>
      <c r="J12" s="3">
        <v>9</v>
      </c>
      <c r="K12" s="15">
        <v>26.12</v>
      </c>
      <c r="L12" s="16">
        <f t="shared" si="1"/>
        <v>0.8766</v>
      </c>
      <c r="M12" s="17">
        <f t="shared" si="2"/>
        <v>2.41151202749141e-5</v>
      </c>
      <c r="N12" s="18">
        <f t="shared" si="3"/>
        <v>0.47975507437602</v>
      </c>
      <c r="O12" s="19">
        <f t="shared" si="4"/>
        <v>4378.32602670336</v>
      </c>
      <c r="P12" s="20">
        <f t="shared" si="5"/>
        <v>0.0499777869447258</v>
      </c>
      <c r="Q12" s="26"/>
      <c r="R12" s="21">
        <f t="shared" si="6"/>
        <v>0.0388964038266321</v>
      </c>
      <c r="S12" s="27"/>
      <c r="T12" s="28">
        <f t="shared" si="7"/>
        <v>-0.734479567024636</v>
      </c>
      <c r="U12" s="28">
        <f t="shared" si="8"/>
        <v>2.73760900334375</v>
      </c>
      <c r="V12" s="28">
        <f t="shared" si="9"/>
        <v>8.38442174463476</v>
      </c>
      <c r="W12" s="28">
        <f t="shared" si="10"/>
        <v>-2.99617663337268</v>
      </c>
    </row>
    <row r="13" spans="1:23">
      <c r="A13" s="3">
        <v>10</v>
      </c>
      <c r="B13" s="7">
        <v>98.58</v>
      </c>
      <c r="C13" s="7">
        <v>91.35</v>
      </c>
      <c r="D13" s="8">
        <f t="shared" si="0"/>
        <v>7.23</v>
      </c>
      <c r="E13" s="9">
        <v>3.1</v>
      </c>
      <c r="F13" s="9">
        <v>6.3</v>
      </c>
      <c r="G13" s="9">
        <v>30.44</v>
      </c>
      <c r="H13" s="9">
        <v>26.12</v>
      </c>
      <c r="I13" s="21"/>
      <c r="J13" s="3">
        <v>10</v>
      </c>
      <c r="K13" s="15">
        <v>26.12</v>
      </c>
      <c r="L13" s="16">
        <f t="shared" si="1"/>
        <v>0.8766</v>
      </c>
      <c r="M13" s="17">
        <f t="shared" si="2"/>
        <v>1.4754270696452e-5</v>
      </c>
      <c r="N13" s="18">
        <f t="shared" si="3"/>
        <v>0.29352688913203</v>
      </c>
      <c r="O13" s="19">
        <f t="shared" si="4"/>
        <v>2678.77608151522</v>
      </c>
      <c r="P13" s="20">
        <f t="shared" si="5"/>
        <v>0.0624784440045762</v>
      </c>
      <c r="Q13" s="26"/>
      <c r="R13" s="21">
        <f t="shared" si="6"/>
        <v>0.0439797110509993</v>
      </c>
      <c r="S13" s="27"/>
      <c r="T13" s="28">
        <f t="shared" si="7"/>
        <v>-1.22578602846909</v>
      </c>
      <c r="U13" s="28">
        <f t="shared" si="8"/>
        <v>1.97823903617067</v>
      </c>
      <c r="V13" s="28">
        <f t="shared" si="9"/>
        <v>7.89311528319031</v>
      </c>
      <c r="W13" s="28">
        <f t="shared" si="10"/>
        <v>-2.77293367765684</v>
      </c>
    </row>
    <row r="14" spans="1:23">
      <c r="A14" s="3">
        <v>11</v>
      </c>
      <c r="B14" s="7">
        <v>97.72</v>
      </c>
      <c r="C14" s="7">
        <v>92.48</v>
      </c>
      <c r="D14" s="8">
        <f t="shared" si="0"/>
        <v>5.23999999999999</v>
      </c>
      <c r="E14" s="9">
        <v>3.5</v>
      </c>
      <c r="F14" s="9">
        <v>7.7</v>
      </c>
      <c r="G14" s="9">
        <v>45.5</v>
      </c>
      <c r="H14" s="9">
        <v>26.35</v>
      </c>
      <c r="I14" s="21"/>
      <c r="J14" s="3">
        <v>11</v>
      </c>
      <c r="K14" s="15">
        <v>26.35</v>
      </c>
      <c r="L14" s="16">
        <f t="shared" si="1"/>
        <v>0.872</v>
      </c>
      <c r="M14" s="17">
        <f t="shared" si="2"/>
        <v>1.29553846153846e-5</v>
      </c>
      <c r="N14" s="18">
        <f t="shared" si="3"/>
        <v>0.257739187649394</v>
      </c>
      <c r="O14" s="19">
        <f t="shared" si="4"/>
        <v>2364.57970320545</v>
      </c>
      <c r="P14" s="20">
        <f t="shared" si="5"/>
        <v>0.0587297385882246</v>
      </c>
      <c r="Q14" s="26"/>
      <c r="R14" s="21">
        <f t="shared" si="6"/>
        <v>0.045373051224709</v>
      </c>
      <c r="S14" s="27"/>
      <c r="T14" s="28">
        <f t="shared" si="7"/>
        <v>-1.35580710594887</v>
      </c>
      <c r="U14" s="28">
        <f t="shared" si="8"/>
        <v>1.65632149833295</v>
      </c>
      <c r="V14" s="28">
        <f t="shared" si="9"/>
        <v>7.76835556978626</v>
      </c>
      <c r="W14" s="28">
        <f t="shared" si="10"/>
        <v>-2.83480906053501</v>
      </c>
    </row>
    <row r="15" spans="1:23">
      <c r="A15" s="3">
        <v>12</v>
      </c>
      <c r="B15" s="10">
        <v>96.78</v>
      </c>
      <c r="C15" s="10">
        <v>93.5</v>
      </c>
      <c r="D15" s="11">
        <f t="shared" si="0"/>
        <v>3.28</v>
      </c>
      <c r="E15" s="12">
        <v>3.2</v>
      </c>
      <c r="F15" s="12">
        <v>6.7</v>
      </c>
      <c r="G15" s="12">
        <v>45.47</v>
      </c>
      <c r="H15" s="9">
        <v>26.95</v>
      </c>
      <c r="I15" s="21"/>
      <c r="J15" s="3">
        <v>12</v>
      </c>
      <c r="K15" s="22">
        <v>26.95</v>
      </c>
      <c r="L15" s="23">
        <f t="shared" si="1"/>
        <v>0.86</v>
      </c>
      <c r="M15" s="24">
        <f t="shared" si="2"/>
        <v>1.08032768858588e-5</v>
      </c>
      <c r="N15" s="18">
        <f t="shared" si="3"/>
        <v>0.214924364746856</v>
      </c>
      <c r="O15" s="19">
        <f t="shared" si="4"/>
        <v>1999.29641624982</v>
      </c>
      <c r="P15" s="20">
        <f t="shared" si="5"/>
        <v>0.0528676774513391</v>
      </c>
      <c r="Q15" s="26">
        <f t="shared" ref="Q15:Q24" si="11">64/O15</f>
        <v>0.0320112613016373</v>
      </c>
      <c r="R15" s="21"/>
      <c r="S15" s="29" t="s">
        <v>28</v>
      </c>
      <c r="T15" s="28">
        <f t="shared" si="7"/>
        <v>-1.53746910462284</v>
      </c>
      <c r="U15" s="28">
        <f t="shared" si="8"/>
        <v>1.18784342239605</v>
      </c>
      <c r="V15" s="28">
        <f t="shared" si="9"/>
        <v>7.60055060577372</v>
      </c>
      <c r="W15" s="28">
        <f t="shared" si="10"/>
        <v>-2.93996313912397</v>
      </c>
    </row>
    <row r="16" spans="1:23">
      <c r="A16" s="3">
        <v>13</v>
      </c>
      <c r="B16" s="7">
        <v>94.09</v>
      </c>
      <c r="C16" s="7">
        <v>90.91</v>
      </c>
      <c r="D16" s="8">
        <f t="shared" si="0"/>
        <v>3.18000000000001</v>
      </c>
      <c r="E16" s="9">
        <v>3.2</v>
      </c>
      <c r="F16" s="9">
        <v>7.4</v>
      </c>
      <c r="G16" s="9">
        <v>54.82</v>
      </c>
      <c r="H16" s="9">
        <v>25.34</v>
      </c>
      <c r="I16" s="21"/>
      <c r="J16" s="3">
        <v>13</v>
      </c>
      <c r="K16" s="9">
        <v>25.34</v>
      </c>
      <c r="L16" s="16">
        <f>0.893+(K16-25)*(0.879-0.983)</f>
        <v>0.85764</v>
      </c>
      <c r="M16" s="17">
        <f t="shared" si="2"/>
        <v>1.07528274352426e-5</v>
      </c>
      <c r="N16" s="18">
        <f t="shared" si="3"/>
        <v>0.213920704816626</v>
      </c>
      <c r="O16" s="19">
        <f t="shared" si="4"/>
        <v>1995.43589213774</v>
      </c>
      <c r="P16" s="20">
        <f t="shared" si="5"/>
        <v>0.051737944409799</v>
      </c>
      <c r="Q16" s="26">
        <f t="shared" si="11"/>
        <v>0.0320731927556119</v>
      </c>
      <c r="R16" s="21"/>
      <c r="S16" s="29"/>
      <c r="T16" s="28">
        <f t="shared" si="7"/>
        <v>-1.54214987086661</v>
      </c>
      <c r="U16" s="28">
        <f t="shared" si="8"/>
        <v>1.15688119679209</v>
      </c>
      <c r="V16" s="28">
        <f t="shared" si="9"/>
        <v>7.59861779775762</v>
      </c>
      <c r="W16" s="28">
        <f t="shared" si="10"/>
        <v>-2.9615638322404</v>
      </c>
    </row>
    <row r="17" spans="1:23">
      <c r="A17" s="3">
        <v>14</v>
      </c>
      <c r="B17" s="7">
        <v>96.98</v>
      </c>
      <c r="C17" s="7">
        <v>93.4</v>
      </c>
      <c r="D17" s="8">
        <f t="shared" si="0"/>
        <v>3.58</v>
      </c>
      <c r="E17" s="9">
        <v>3</v>
      </c>
      <c r="F17" s="9">
        <v>6.9</v>
      </c>
      <c r="G17" s="9">
        <v>50.25</v>
      </c>
      <c r="H17" s="9">
        <v>26.49</v>
      </c>
      <c r="I17" s="21"/>
      <c r="J17" s="3">
        <v>14</v>
      </c>
      <c r="K17" s="15">
        <v>26.49</v>
      </c>
      <c r="L17" s="16">
        <f>0.879+(K17-26)*(0.859-0.879)</f>
        <v>0.8692</v>
      </c>
      <c r="M17" s="17">
        <f t="shared" si="2"/>
        <v>1.08928358208955e-5</v>
      </c>
      <c r="N17" s="18">
        <f t="shared" si="3"/>
        <v>0.216706083147998</v>
      </c>
      <c r="O17" s="19">
        <f t="shared" si="4"/>
        <v>1994.53366910261</v>
      </c>
      <c r="P17" s="20">
        <f t="shared" si="5"/>
        <v>0.0567581868027763</v>
      </c>
      <c r="Q17" s="26">
        <f t="shared" si="11"/>
        <v>0.0320877009956895</v>
      </c>
      <c r="R17" s="21"/>
      <c r="S17" s="29"/>
      <c r="T17" s="28">
        <f t="shared" si="7"/>
        <v>-1.52921329908487</v>
      </c>
      <c r="U17" s="28">
        <f t="shared" si="8"/>
        <v>1.27536280041261</v>
      </c>
      <c r="V17" s="28">
        <f t="shared" si="9"/>
        <v>7.59816555217696</v>
      </c>
      <c r="W17" s="28">
        <f t="shared" si="10"/>
        <v>-2.86895537218335</v>
      </c>
    </row>
    <row r="18" spans="1:23">
      <c r="A18" s="3">
        <v>15</v>
      </c>
      <c r="B18" s="7">
        <v>96.4</v>
      </c>
      <c r="C18" s="7">
        <v>94.08</v>
      </c>
      <c r="D18" s="8">
        <f t="shared" si="0"/>
        <v>2.32000000000001</v>
      </c>
      <c r="E18" s="9">
        <v>3.3</v>
      </c>
      <c r="F18" s="9">
        <v>7.3</v>
      </c>
      <c r="G18" s="9">
        <v>58.44</v>
      </c>
      <c r="H18" s="9">
        <v>26.76</v>
      </c>
      <c r="I18" s="21"/>
      <c r="J18" s="3">
        <v>15</v>
      </c>
      <c r="K18" s="15">
        <v>26.76</v>
      </c>
      <c r="L18" s="16">
        <f>0.879+(K18-26)*(0.859-0.879)</f>
        <v>0.8638</v>
      </c>
      <c r="M18" s="17">
        <f t="shared" si="2"/>
        <v>9.60643394934976e-6</v>
      </c>
      <c r="N18" s="18">
        <f t="shared" si="3"/>
        <v>0.191113931065602</v>
      </c>
      <c r="O18" s="19">
        <f t="shared" si="4"/>
        <v>1769.98315411532</v>
      </c>
      <c r="P18" s="20">
        <f t="shared" si="5"/>
        <v>0.0472923597980337</v>
      </c>
      <c r="Q18" s="26">
        <f t="shared" si="11"/>
        <v>0.0361585362274189</v>
      </c>
      <c r="R18" s="21"/>
      <c r="S18" s="29"/>
      <c r="T18" s="28">
        <f t="shared" si="7"/>
        <v>-1.6548855310439</v>
      </c>
      <c r="U18" s="28">
        <f t="shared" si="8"/>
        <v>0.841567185678222</v>
      </c>
      <c r="V18" s="28">
        <f t="shared" si="9"/>
        <v>7.47872530807361</v>
      </c>
      <c r="W18" s="28">
        <f t="shared" si="10"/>
        <v>-3.05140652299969</v>
      </c>
    </row>
    <row r="19" spans="1:23">
      <c r="A19" s="3">
        <v>16</v>
      </c>
      <c r="B19" s="7">
        <v>93.59</v>
      </c>
      <c r="C19" s="7">
        <v>91.48</v>
      </c>
      <c r="D19" s="8">
        <f t="shared" si="0"/>
        <v>2.11</v>
      </c>
      <c r="E19" s="9">
        <v>3.6</v>
      </c>
      <c r="F19" s="9">
        <v>7.2</v>
      </c>
      <c r="G19" s="9">
        <v>60</v>
      </c>
      <c r="H19" s="9">
        <v>25.36</v>
      </c>
      <c r="I19" s="21"/>
      <c r="J19" s="3">
        <v>16</v>
      </c>
      <c r="K19" s="9">
        <v>25.36</v>
      </c>
      <c r="L19" s="16">
        <f>0.893+(K19-25)*(0.879-0.983)</f>
        <v>0.85556</v>
      </c>
      <c r="M19" s="17">
        <f t="shared" si="2"/>
        <v>8.421e-6</v>
      </c>
      <c r="N19" s="18">
        <f t="shared" si="3"/>
        <v>0.167530471972106</v>
      </c>
      <c r="O19" s="19">
        <f t="shared" si="4"/>
        <v>1566.51056124275</v>
      </c>
      <c r="P19" s="20">
        <f t="shared" si="5"/>
        <v>0.0559735075753891</v>
      </c>
      <c r="Q19" s="26">
        <f t="shared" si="11"/>
        <v>0.0408551347073122</v>
      </c>
      <c r="R19" s="21"/>
      <c r="S19" s="29"/>
      <c r="T19" s="28">
        <f t="shared" si="7"/>
        <v>-1.78659002204133</v>
      </c>
      <c r="U19" s="28">
        <f t="shared" si="8"/>
        <v>0.746687947487975</v>
      </c>
      <c r="V19" s="28">
        <f t="shared" si="9"/>
        <v>7.35660585230553</v>
      </c>
      <c r="W19" s="28">
        <f t="shared" si="10"/>
        <v>-2.88287677919508</v>
      </c>
    </row>
    <row r="20" spans="1:23">
      <c r="A20" s="3">
        <v>17</v>
      </c>
      <c r="B20" s="7">
        <v>96.3</v>
      </c>
      <c r="C20" s="7">
        <v>94.22</v>
      </c>
      <c r="D20" s="8">
        <f t="shared" si="0"/>
        <v>2.08</v>
      </c>
      <c r="E20" s="9">
        <v>3.4</v>
      </c>
      <c r="F20" s="9">
        <v>6</v>
      </c>
      <c r="G20" s="9">
        <v>45.03</v>
      </c>
      <c r="H20" s="9">
        <v>26.49</v>
      </c>
      <c r="I20" s="21"/>
      <c r="J20" s="3">
        <v>17</v>
      </c>
      <c r="K20" s="15">
        <v>26.49</v>
      </c>
      <c r="L20" s="16">
        <f>0.879+(K20-26)*(0.859-0.879)</f>
        <v>0.8692</v>
      </c>
      <c r="M20" s="17">
        <f t="shared" si="2"/>
        <v>8.10370863868532e-6</v>
      </c>
      <c r="N20" s="18">
        <f t="shared" si="3"/>
        <v>0.161218160902908</v>
      </c>
      <c r="O20" s="19">
        <f t="shared" si="4"/>
        <v>1483.83028902814</v>
      </c>
      <c r="P20" s="20">
        <f t="shared" si="5"/>
        <v>0.0595831008490534</v>
      </c>
      <c r="Q20" s="26">
        <f t="shared" si="11"/>
        <v>0.0431316171891313</v>
      </c>
      <c r="R20" s="21"/>
      <c r="S20" s="29"/>
      <c r="T20" s="28">
        <f t="shared" ref="T20:T24" si="12">LN(N20)</f>
        <v>-1.82499679456733</v>
      </c>
      <c r="U20" s="28">
        <f t="shared" ref="U20:U24" si="13">LN(D20)</f>
        <v>0.732367893713226</v>
      </c>
      <c r="V20" s="28">
        <f t="shared" ref="V20:V24" si="14">LN(O20)</f>
        <v>7.3023820566945</v>
      </c>
      <c r="W20" s="28">
        <f t="shared" ref="W20:W24" si="15">LN(P20)</f>
        <v>-2.82038328791781</v>
      </c>
    </row>
    <row r="21" spans="1:23">
      <c r="A21" s="3">
        <v>18</v>
      </c>
      <c r="B21" s="7">
        <v>93.25</v>
      </c>
      <c r="C21" s="7">
        <v>91.96</v>
      </c>
      <c r="D21" s="8">
        <f t="shared" si="0"/>
        <v>1.29000000000001</v>
      </c>
      <c r="E21" s="9">
        <v>4</v>
      </c>
      <c r="F21" s="9">
        <v>7.5</v>
      </c>
      <c r="G21" s="9">
        <v>102.5</v>
      </c>
      <c r="H21" s="9">
        <v>25.36</v>
      </c>
      <c r="I21" s="21"/>
      <c r="J21" s="3">
        <v>18</v>
      </c>
      <c r="K21" s="9">
        <v>25.36</v>
      </c>
      <c r="L21" s="16">
        <f>0.893+(K21-25)*(0.879-0.983)</f>
        <v>0.85556</v>
      </c>
      <c r="M21" s="17">
        <f t="shared" si="2"/>
        <v>4.79243902439024e-6</v>
      </c>
      <c r="N21" s="18">
        <f t="shared" si="3"/>
        <v>0.0953425450247759</v>
      </c>
      <c r="O21" s="19">
        <f t="shared" si="4"/>
        <v>891.510075504006</v>
      </c>
      <c r="P21" s="20">
        <f t="shared" si="5"/>
        <v>0.105658373438379</v>
      </c>
      <c r="Q21" s="26">
        <f t="shared" si="11"/>
        <v>0.0717883081285629</v>
      </c>
      <c r="R21" s="21"/>
      <c r="S21" s="29"/>
      <c r="T21" s="28">
        <f t="shared" si="12"/>
        <v>-2.35027913536438</v>
      </c>
      <c r="U21" s="28">
        <f t="shared" si="13"/>
        <v>0.254642218373586</v>
      </c>
      <c r="V21" s="28">
        <f t="shared" si="14"/>
        <v>6.79291673898247</v>
      </c>
      <c r="W21" s="28">
        <f t="shared" si="15"/>
        <v>-2.24754428166335</v>
      </c>
    </row>
    <row r="22" spans="1:23">
      <c r="A22" s="3">
        <v>19</v>
      </c>
      <c r="B22" s="7">
        <v>93.16</v>
      </c>
      <c r="C22" s="7">
        <v>92.11</v>
      </c>
      <c r="D22" s="8">
        <f t="shared" si="0"/>
        <v>1.05</v>
      </c>
      <c r="E22" s="9">
        <v>4.4</v>
      </c>
      <c r="F22" s="9">
        <v>8</v>
      </c>
      <c r="G22" s="9">
        <v>139.94</v>
      </c>
      <c r="H22" s="9">
        <v>25.55</v>
      </c>
      <c r="I22" s="21"/>
      <c r="J22" s="3">
        <v>19</v>
      </c>
      <c r="K22" s="9">
        <v>25.55</v>
      </c>
      <c r="L22" s="16">
        <f>0.893+(K22-25)*(0.879-0.983)</f>
        <v>0.8358</v>
      </c>
      <c r="M22" s="17">
        <f t="shared" si="2"/>
        <v>3.61054737744748e-6</v>
      </c>
      <c r="N22" s="18">
        <f t="shared" si="3"/>
        <v>0.0718295577985306</v>
      </c>
      <c r="O22" s="19">
        <f t="shared" si="4"/>
        <v>687.528670002686</v>
      </c>
      <c r="P22" s="20">
        <f t="shared" si="5"/>
        <v>0.151520224434931</v>
      </c>
      <c r="Q22" s="26">
        <f t="shared" si="11"/>
        <v>0.0930870271922623</v>
      </c>
      <c r="R22" s="21"/>
      <c r="S22" s="29"/>
      <c r="T22" s="28">
        <f t="shared" si="12"/>
        <v>-2.63345921913698</v>
      </c>
      <c r="U22" s="28">
        <f t="shared" si="13"/>
        <v>0.0487901641694293</v>
      </c>
      <c r="V22" s="28">
        <f t="shared" si="14"/>
        <v>6.53310353049332</v>
      </c>
      <c r="W22" s="28">
        <f t="shared" si="15"/>
        <v>-1.88703616832232</v>
      </c>
    </row>
    <row r="23" spans="1:23">
      <c r="A23" s="3">
        <v>20</v>
      </c>
      <c r="B23" s="7">
        <v>93.06</v>
      </c>
      <c r="C23" s="7">
        <v>92.22</v>
      </c>
      <c r="D23" s="8">
        <f t="shared" si="0"/>
        <v>0.840000000000003</v>
      </c>
      <c r="E23" s="9">
        <v>3.8</v>
      </c>
      <c r="F23" s="9">
        <v>7.2</v>
      </c>
      <c r="G23" s="9">
        <v>167.63</v>
      </c>
      <c r="H23" s="9">
        <v>25.55</v>
      </c>
      <c r="I23" s="21"/>
      <c r="J23" s="3">
        <v>20</v>
      </c>
      <c r="K23" s="9">
        <v>25.55</v>
      </c>
      <c r="L23" s="16">
        <f>0.893+(K23-25)*(0.879-0.983)</f>
        <v>0.8358</v>
      </c>
      <c r="M23" s="17">
        <f t="shared" si="2"/>
        <v>2.84668615402971e-6</v>
      </c>
      <c r="N23" s="18">
        <f t="shared" si="3"/>
        <v>0.0566330216056356</v>
      </c>
      <c r="O23" s="19">
        <f t="shared" si="4"/>
        <v>542.072472894334</v>
      </c>
      <c r="P23" s="20">
        <f t="shared" si="5"/>
        <v>0.19499681160303</v>
      </c>
      <c r="Q23" s="26">
        <f t="shared" si="11"/>
        <v>0.11806539383614</v>
      </c>
      <c r="R23" s="21"/>
      <c r="S23" s="29"/>
      <c r="T23" s="28">
        <f t="shared" si="12"/>
        <v>-2.87116304330236</v>
      </c>
      <c r="U23" s="28">
        <f t="shared" si="13"/>
        <v>-0.174353387144774</v>
      </c>
      <c r="V23" s="28">
        <f t="shared" si="14"/>
        <v>6.29539970632793</v>
      </c>
      <c r="W23" s="28">
        <f t="shared" si="15"/>
        <v>-1.63477207130576</v>
      </c>
    </row>
    <row r="24" spans="1:23">
      <c r="A24" s="3">
        <v>21</v>
      </c>
      <c r="B24" s="7">
        <v>95.6</v>
      </c>
      <c r="C24" s="7">
        <v>94.95</v>
      </c>
      <c r="D24" s="8">
        <f t="shared" si="0"/>
        <v>0.649999999999991</v>
      </c>
      <c r="E24" s="9">
        <v>4</v>
      </c>
      <c r="F24" s="9">
        <v>7.5</v>
      </c>
      <c r="G24" s="9">
        <v>232.06</v>
      </c>
      <c r="H24" s="9">
        <v>26.76</v>
      </c>
      <c r="I24" s="21"/>
      <c r="J24" s="3">
        <v>21</v>
      </c>
      <c r="K24" s="15">
        <v>26.76</v>
      </c>
      <c r="L24" s="16">
        <f>0.879+(K24-26)*(0.859-0.879)</f>
        <v>0.8638</v>
      </c>
      <c r="M24" s="17">
        <f t="shared" si="2"/>
        <v>2.11680168921831e-6</v>
      </c>
      <c r="N24" s="18">
        <f t="shared" si="3"/>
        <v>0.0421124315480459</v>
      </c>
      <c r="O24" s="19">
        <f t="shared" si="4"/>
        <v>390.020204195841</v>
      </c>
      <c r="P24" s="20">
        <f t="shared" si="5"/>
        <v>0.272885470050185</v>
      </c>
      <c r="Q24" s="26">
        <f t="shared" si="11"/>
        <v>0.164094063106186</v>
      </c>
      <c r="R24" s="21"/>
      <c r="S24" s="29"/>
      <c r="T24" s="28">
        <f t="shared" si="12"/>
        <v>-3.16741229570532</v>
      </c>
      <c r="U24" s="28">
        <f t="shared" si="13"/>
        <v>-0.430782916092467</v>
      </c>
      <c r="V24" s="28">
        <f t="shared" si="14"/>
        <v>5.96619854341219</v>
      </c>
      <c r="W24" s="28">
        <f t="shared" si="15"/>
        <v>-1.29870309544753</v>
      </c>
    </row>
    <row r="25" spans="17:21">
      <c r="Q25" s="21"/>
      <c r="R25" s="21"/>
      <c r="S25" s="21"/>
      <c r="T25" s="21"/>
      <c r="U25" s="21"/>
    </row>
    <row r="26" ht="14.4" spans="1:21">
      <c r="A26" s="1" t="s">
        <v>29</v>
      </c>
      <c r="B26" s="1">
        <v>0.8</v>
      </c>
      <c r="C26" s="1" t="s">
        <v>30</v>
      </c>
      <c r="R26" s="21"/>
      <c r="S26" s="21"/>
      <c r="T26" s="21"/>
      <c r="U26" s="21"/>
    </row>
    <row r="27" ht="14.4" spans="1:3">
      <c r="A27" s="1" t="s">
        <v>31</v>
      </c>
      <c r="B27" s="1">
        <v>206.5</v>
      </c>
      <c r="C27" s="1" t="s">
        <v>30</v>
      </c>
    </row>
    <row r="28" ht="14.4" spans="1:3">
      <c r="A28" s="1" t="s">
        <v>32</v>
      </c>
      <c r="B28" s="1">
        <v>140.35</v>
      </c>
      <c r="C28" s="1" t="s">
        <v>33</v>
      </c>
    </row>
  </sheetData>
  <sortState ref="A15:Q24">
    <sortCondition ref="O15:O24" descending="1"/>
  </sortState>
  <mergeCells count="10">
    <mergeCell ref="B1:D1"/>
    <mergeCell ref="E1:G1"/>
    <mergeCell ref="M1:P1"/>
    <mergeCell ref="A1:A3"/>
    <mergeCell ref="J1:J3"/>
    <mergeCell ref="K1:K2"/>
    <mergeCell ref="L1:L2"/>
    <mergeCell ref="S4:S14"/>
    <mergeCell ref="S15:S24"/>
    <mergeCell ref="T1:T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卞姿懿</cp:lastModifiedBy>
  <dcterms:created xsi:type="dcterms:W3CDTF">2020-05-21T08:20:00Z</dcterms:created>
  <dcterms:modified xsi:type="dcterms:W3CDTF">2021-05-16T11:39:49Z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