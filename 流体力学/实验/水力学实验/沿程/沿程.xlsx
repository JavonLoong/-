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<sst xmlns="http://schemas.openxmlformats.org/spreadsheetml/2006/main" count="41" uniqueCount="34">
  <si>
    <r>
      <rPr>
        <sz val="10.5"/>
        <color theme="1"/>
        <rFont val="宋体"/>
        <charset val="134"/>
      </rPr>
      <t>测次</t>
    </r>
  </si>
  <si>
    <r>
      <rPr>
        <sz val="10.5"/>
        <color theme="1"/>
        <rFont val="宋体"/>
        <charset val="134"/>
      </rPr>
      <t>比压计读数</t>
    </r>
  </si>
  <si>
    <r>
      <rPr>
        <sz val="10.5"/>
        <color theme="1"/>
        <rFont val="宋体"/>
        <charset val="134"/>
      </rPr>
      <t>体积法</t>
    </r>
  </si>
  <si>
    <r>
      <rPr>
        <sz val="10.5"/>
        <color theme="1"/>
        <rFont val="宋体"/>
        <charset val="134"/>
      </rPr>
      <t>水温</t>
    </r>
  </si>
  <si>
    <r>
      <rPr>
        <sz val="10.5"/>
        <color theme="1"/>
        <rFont val="宋体"/>
        <charset val="134"/>
      </rPr>
      <t>运动粘滞系数</t>
    </r>
  </si>
  <si>
    <r>
      <rPr>
        <sz val="10.5"/>
        <color theme="1"/>
        <rFont val="宋体"/>
        <charset val="134"/>
      </rPr>
      <t>计算</t>
    </r>
  </si>
  <si>
    <r>
      <rPr>
        <sz val="11"/>
        <color theme="1"/>
        <rFont val="宋体"/>
        <charset val="134"/>
      </rPr>
      <t>绘制图线</t>
    </r>
  </si>
  <si>
    <r>
      <t>h</t>
    </r>
    <r>
      <rPr>
        <vertAlign val="subscript"/>
        <sz val="10.5"/>
        <color theme="1"/>
        <rFont val="Times New Roman"/>
        <charset val="134"/>
      </rPr>
      <t>1</t>
    </r>
  </si>
  <si>
    <r>
      <t>h</t>
    </r>
    <r>
      <rPr>
        <vertAlign val="subscript"/>
        <sz val="10.5"/>
        <color theme="1"/>
        <rFont val="Times New Roman"/>
        <charset val="134"/>
      </rPr>
      <t>2</t>
    </r>
  </si>
  <si>
    <r>
      <t>h</t>
    </r>
    <r>
      <rPr>
        <i/>
        <vertAlign val="subscript"/>
        <sz val="10.5"/>
        <color theme="1"/>
        <rFont val="Times New Roman"/>
        <charset val="134"/>
      </rPr>
      <t>f</t>
    </r>
  </si>
  <si>
    <r>
      <rPr>
        <sz val="10.5"/>
        <color theme="1"/>
        <rFont val="宋体"/>
        <charset val="134"/>
      </rPr>
      <t>起始水位</t>
    </r>
  </si>
  <si>
    <r>
      <rPr>
        <sz val="10.5"/>
        <color theme="1"/>
        <rFont val="宋体"/>
        <charset val="134"/>
      </rPr>
      <t>最终水位</t>
    </r>
    <r>
      <rPr>
        <sz val="10.5"/>
        <color theme="1"/>
        <rFont val="Times New Roman"/>
        <charset val="134"/>
      </rPr>
      <t>(cm)</t>
    </r>
  </si>
  <si>
    <r>
      <rPr>
        <sz val="10.5"/>
        <color theme="1"/>
        <rFont val="宋体"/>
        <charset val="134"/>
      </rPr>
      <t>时间</t>
    </r>
    <r>
      <rPr>
        <i/>
        <sz val="10.5"/>
        <color theme="1"/>
        <rFont val="Times New Roman"/>
        <charset val="134"/>
      </rPr>
      <t>T</t>
    </r>
  </si>
  <si>
    <r>
      <rPr>
        <sz val="10.5"/>
        <color theme="1"/>
        <rFont val="宋体"/>
        <charset val="134"/>
      </rPr>
      <t>流量</t>
    </r>
  </si>
  <si>
    <r>
      <rPr>
        <sz val="10.5"/>
        <color theme="1"/>
        <rFont val="宋体"/>
        <charset val="134"/>
      </rPr>
      <t>流速</t>
    </r>
  </si>
  <si>
    <r>
      <rPr>
        <sz val="10.5"/>
        <color theme="1"/>
        <rFont val="宋体"/>
        <charset val="134"/>
      </rPr>
      <t>雷诺数</t>
    </r>
    <r>
      <rPr>
        <sz val="10.5"/>
        <color theme="1"/>
        <rFont val="Times New Roman"/>
        <charset val="134"/>
      </rPr>
      <t>Re</t>
    </r>
  </si>
  <si>
    <t>λ</t>
  </si>
  <si>
    <t>(cm)</t>
  </si>
  <si>
    <t>(s)</t>
  </si>
  <si>
    <t>℃</t>
  </si>
  <si>
    <r>
      <t>×10-6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m2/s</t>
    </r>
    <r>
      <rPr>
        <sz val="11"/>
        <color theme="1"/>
        <rFont val="宋体"/>
        <charset val="134"/>
      </rPr>
      <t>）</t>
    </r>
  </si>
  <si>
    <t>(m3/s)</t>
  </si>
  <si>
    <t>(m/s)</t>
  </si>
  <si>
    <r>
      <t>ln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）</t>
    </r>
  </si>
  <si>
    <r>
      <t>ln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hf</t>
    </r>
    <r>
      <rPr>
        <sz val="11"/>
        <color theme="1"/>
        <rFont val="宋体"/>
        <charset val="134"/>
      </rPr>
      <t>）</t>
    </r>
  </si>
  <si>
    <t>ln(Re)</t>
  </si>
  <si>
    <t>ln(λ)</t>
  </si>
  <si>
    <t>紊流</t>
  </si>
  <si>
    <t>层流</t>
  </si>
  <si>
    <r>
      <rPr>
        <sz val="11"/>
        <color theme="1"/>
        <rFont val="宋体"/>
        <charset val="134"/>
      </rPr>
      <t>管径</t>
    </r>
    <r>
      <rPr>
        <sz val="11"/>
        <color theme="1"/>
        <rFont val="Times New Roman"/>
        <charset val="134"/>
      </rPr>
      <t>d</t>
    </r>
  </si>
  <si>
    <t>cm</t>
  </si>
  <si>
    <r>
      <rPr>
        <sz val="11"/>
        <color theme="1"/>
        <rFont val="宋体"/>
        <charset val="134"/>
      </rPr>
      <t>管长</t>
    </r>
    <r>
      <rPr>
        <sz val="11"/>
        <color theme="1"/>
        <rFont val="Times New Roman"/>
        <charset val="134"/>
      </rPr>
      <t>l</t>
    </r>
  </si>
  <si>
    <r>
      <rPr>
        <sz val="11"/>
        <color theme="1"/>
        <rFont val="宋体"/>
        <charset val="134"/>
      </rPr>
      <t>水槽面积</t>
    </r>
    <r>
      <rPr>
        <sz val="11"/>
        <color theme="1"/>
        <rFont val="Times New Roman"/>
        <charset val="134"/>
      </rPr>
      <t>A</t>
    </r>
  </si>
  <si>
    <t>cm2</t>
  </si>
</sst>
</file>

<file path=xl/styles.xml><?xml version="1.0" encoding="utf-8"?>
<styleSheet xmlns="http://schemas.openxmlformats.org/spreadsheetml/2006/main">
  <numFmts count="9">
    <numFmt numFmtId="176" formatCode="0.00000000_);[Red]\(0.00000000\)"/>
    <numFmt numFmtId="177" formatCode="0.0_ "/>
    <numFmt numFmtId="178" formatCode="0.0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9" formatCode="0.000_ "/>
    <numFmt numFmtId="180" formatCode="0.0000_ 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.5"/>
      <color theme="1"/>
      <name val="Times New Roman"/>
      <charset val="134"/>
    </font>
    <font>
      <i/>
      <sz val="10.5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0.5"/>
      <color theme="1"/>
      <name val="宋体"/>
      <charset val="134"/>
    </font>
    <font>
      <vertAlign val="subscript"/>
      <sz val="10.5"/>
      <color theme="1"/>
      <name val="Times New Roman"/>
      <charset val="134"/>
    </font>
    <font>
      <i/>
      <vertAlign val="subscript"/>
      <sz val="10.5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2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ln(hf)——ln(v)</a:t>
            </a:r>
            <a:r>
              <a:rPr altLang="en-US"/>
              <a:t>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"紊流区"</c:f>
              <c:strCache>
                <c:ptCount val="1"/>
                <c:pt idx="0">
                  <c:v>紊流区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101218652432"/>
                  <c:y val="0.07606408804013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Sheet1!$T$5:$T$13</c:f>
              <c:numCache>
                <c:formatCode>0.00_ </c:formatCode>
                <c:ptCount val="9"/>
                <c:pt idx="0">
                  <c:v>0.358269343706529</c:v>
                </c:pt>
                <c:pt idx="1">
                  <c:v>0.241187579006724</c:v>
                </c:pt>
                <c:pt idx="2">
                  <c:v>0.208344152424177</c:v>
                </c:pt>
                <c:pt idx="3">
                  <c:v>0.212088657137537</c:v>
                </c:pt>
                <c:pt idx="4">
                  <c:v>0.141707322238438</c:v>
                </c:pt>
                <c:pt idx="5">
                  <c:v>0.0801021496446009</c:v>
                </c:pt>
                <c:pt idx="6">
                  <c:v>-0.258066607681149</c:v>
                </c:pt>
                <c:pt idx="7">
                  <c:v>-0.532028972915731</c:v>
                </c:pt>
                <c:pt idx="8">
                  <c:v>-0.716450099975064</c:v>
                </c:pt>
              </c:numCache>
            </c:numRef>
          </c:xVal>
          <c:yVal>
            <c:numRef>
              <c:f>Sheet1!$U$5:$U$13</c:f>
              <c:numCache>
                <c:formatCode>0.00_ </c:formatCode>
                <c:ptCount val="9"/>
                <c:pt idx="0">
                  <c:v>4.6662652853479</c:v>
                </c:pt>
                <c:pt idx="1">
                  <c:v>4.64005458784159</c:v>
                </c:pt>
                <c:pt idx="2">
                  <c:v>4.57574137529728</c:v>
                </c:pt>
                <c:pt idx="3">
                  <c:v>4.35990882942026</c:v>
                </c:pt>
                <c:pt idx="4">
                  <c:v>4.24778070111149</c:v>
                </c:pt>
                <c:pt idx="5">
                  <c:v>4.66202299758087</c:v>
                </c:pt>
                <c:pt idx="6">
                  <c:v>3.53660201866836</c:v>
                </c:pt>
                <c:pt idx="7">
                  <c:v>3.1904763503465</c:v>
                </c:pt>
                <c:pt idx="8">
                  <c:v>2.79422789734326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"层流区"</c:f>
              <c:strCache>
                <c:ptCount val="1"/>
                <c:pt idx="0">
                  <c:v>层流区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332359754255212"/>
                  <c:y val="-0.01942061822301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Sheet1!$T$14:$T$19</c:f>
              <c:numCache>
                <c:formatCode>0.00_ </c:formatCode>
                <c:ptCount val="6"/>
                <c:pt idx="0">
                  <c:v>-1.50496903448558</c:v>
                </c:pt>
                <c:pt idx="1">
                  <c:v>-2.03704291992303</c:v>
                </c:pt>
                <c:pt idx="2">
                  <c:v>-2.21344447964632</c:v>
                </c:pt>
                <c:pt idx="3">
                  <c:v>-2.32849998285782</c:v>
                </c:pt>
                <c:pt idx="4">
                  <c:v>-2.44843335282109</c:v>
                </c:pt>
                <c:pt idx="5">
                  <c:v>-2.96021885129594</c:v>
                </c:pt>
              </c:numCache>
            </c:numRef>
          </c:xVal>
          <c:yVal>
            <c:numRef>
              <c:f>Sheet1!$U$14:$U$19</c:f>
              <c:numCache>
                <c:formatCode>0.00_ </c:formatCode>
                <c:ptCount val="6"/>
                <c:pt idx="0">
                  <c:v>1.08180517035173</c:v>
                </c:pt>
                <c:pt idx="1">
                  <c:v>0.530628251062172</c:v>
                </c:pt>
                <c:pt idx="2">
                  <c:v>0.470003629245741</c:v>
                </c:pt>
                <c:pt idx="3">
                  <c:v>0.336472236621217</c:v>
                </c:pt>
                <c:pt idx="4">
                  <c:v>0.0953101798043326</c:v>
                </c:pt>
                <c:pt idx="5">
                  <c:v>-0.356674943938728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38822"/>
        <c:axId val="144806045"/>
      </c:scatterChart>
      <c:valAx>
        <c:axId val="526038822"/>
        <c:scaling>
          <c:orientation val="minMax"/>
          <c:max val="0.5"/>
          <c:min val="-3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ln(v)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06045"/>
        <c:crosses val="autoZero"/>
        <c:crossBetween val="midCat"/>
      </c:valAx>
      <c:valAx>
        <c:axId val="144806045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ln(hf)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03882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ln(λ)——ln(Re)</a:t>
            </a:r>
            <a:r>
              <a:rPr altLang="en-US"/>
              <a:t>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"紊流区"</c:f>
              <c:strCache>
                <c:ptCount val="1"/>
                <c:pt idx="0">
                  <c:v>紊流区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9344344848424"/>
                  <c:y val="0.001618384851917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Sheet1!$V$5:$V$13</c:f>
              <c:numCache>
                <c:formatCode>0.00_ </c:formatCode>
                <c:ptCount val="9"/>
                <c:pt idx="0">
                  <c:v>9.42331960357337</c:v>
                </c:pt>
                <c:pt idx="1">
                  <c:v>9.30623783887356</c:v>
                </c:pt>
                <c:pt idx="2">
                  <c:v>9.27339441229102</c:v>
                </c:pt>
                <c:pt idx="3">
                  <c:v>9.28244971906028</c:v>
                </c:pt>
                <c:pt idx="4">
                  <c:v>9.21206838416118</c:v>
                </c:pt>
                <c:pt idx="5">
                  <c:v>9.14515240951144</c:v>
                </c:pt>
                <c:pt idx="6">
                  <c:v>8.81229445424159</c:v>
                </c:pt>
                <c:pt idx="7">
                  <c:v>8.53833208900701</c:v>
                </c:pt>
                <c:pt idx="8">
                  <c:v>8.35391096194768</c:v>
                </c:pt>
              </c:numCache>
            </c:numRef>
          </c:xVal>
          <c:yVal>
            <c:numRef>
              <c:f>Sheet1!$W$5:$W$13</c:f>
              <c:numCache>
                <c:formatCode>0.00_ </c:formatCode>
                <c:ptCount val="9"/>
                <c:pt idx="0">
                  <c:v>-3.25301817283086</c:v>
                </c:pt>
                <c:pt idx="1">
                  <c:v>-3.04506534093756</c:v>
                </c:pt>
                <c:pt idx="2">
                  <c:v>-3.04369170031678</c:v>
                </c:pt>
                <c:pt idx="3">
                  <c:v>-3.26701325562052</c:v>
                </c:pt>
                <c:pt idx="4">
                  <c:v>-3.23837871413109</c:v>
                </c:pt>
                <c:pt idx="5">
                  <c:v>-2.70092607247403</c:v>
                </c:pt>
                <c:pt idx="6">
                  <c:v>-3.15000953673505</c:v>
                </c:pt>
                <c:pt idx="7">
                  <c:v>-2.94821047458774</c:v>
                </c:pt>
                <c:pt idx="8">
                  <c:v>-2.97561667347231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"层流区"</c:f>
              <c:strCache>
                <c:ptCount val="1"/>
                <c:pt idx="0">
                  <c:v>层流区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715077047033941"/>
                  <c:y val="-0.07768247289205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Sheet1!$V$14:$V$19</c:f>
              <c:numCache>
                <c:formatCode>0.00_ </c:formatCode>
                <c:ptCount val="6"/>
                <c:pt idx="0">
                  <c:v>7.56539202743717</c:v>
                </c:pt>
                <c:pt idx="1">
                  <c:v>7.03527615415578</c:v>
                </c:pt>
                <c:pt idx="2">
                  <c:v>6.86302080877383</c:v>
                </c:pt>
                <c:pt idx="3">
                  <c:v>6.74796530556234</c:v>
                </c:pt>
                <c:pt idx="4">
                  <c:v>6.62803193559906</c:v>
                </c:pt>
                <c:pt idx="5">
                  <c:v>6.11843557985486</c:v>
                </c:pt>
              </c:numCache>
            </c:numRef>
          </c:xVal>
          <c:yVal>
            <c:numRef>
              <c:f>Sheet1!$W$14:$W$19</c:f>
              <c:numCache>
                <c:formatCode>0.00_ </c:formatCode>
                <c:ptCount val="6"/>
                <c:pt idx="0">
                  <c:v>-3.11100153144282</c:v>
                </c:pt>
                <c:pt idx="1">
                  <c:v>-2.59803067985748</c:v>
                </c:pt>
                <c:pt idx="2">
                  <c:v>-2.30585218222732</c:v>
                </c:pt>
                <c:pt idx="3">
                  <c:v>-2.20927256842885</c:v>
                </c:pt>
                <c:pt idx="4">
                  <c:v>-2.21056788531919</c:v>
                </c:pt>
                <c:pt idx="5">
                  <c:v>-1.63898201211254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38822"/>
        <c:axId val="144806045"/>
      </c:scatterChart>
      <c:valAx>
        <c:axId val="526038822"/>
        <c:scaling>
          <c:orientation val="minMax"/>
          <c:max val="9.5"/>
          <c:min val="6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ln(Re)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06045"/>
        <c:crosses val="autoZero"/>
        <c:crossBetween val="midCat"/>
      </c:valAx>
      <c:valAx>
        <c:axId val="144806045"/>
        <c:scaling>
          <c:orientation val="minMax"/>
          <c:max val="-1.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ln(λ)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03882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120650</xdr:colOff>
      <xdr:row>27</xdr:row>
      <xdr:rowOff>146050</xdr:rowOff>
    </xdr:from>
    <xdr:to>
      <xdr:col>17</xdr:col>
      <xdr:colOff>691515</xdr:colOff>
      <xdr:row>49</xdr:row>
      <xdr:rowOff>158115</xdr:rowOff>
    </xdr:to>
    <xdr:graphicFrame>
      <xdr:nvGraphicFramePr>
        <xdr:cNvPr id="2" name="图表 1"/>
        <xdr:cNvGraphicFramePr/>
      </xdr:nvGraphicFramePr>
      <xdr:xfrm>
        <a:off x="5321300" y="4984750"/>
        <a:ext cx="6304915" cy="392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190500</xdr:colOff>
      <xdr:row>28</xdr:row>
      <xdr:rowOff>0</xdr:rowOff>
    </xdr:from>
    <xdr:to>
      <xdr:col>26</xdr:col>
      <xdr:colOff>151765</xdr:colOff>
      <xdr:row>50</xdr:row>
      <xdr:rowOff>12065</xdr:rowOff>
    </xdr:to>
    <xdr:graphicFrame>
      <xdr:nvGraphicFramePr>
        <xdr:cNvPr id="4" name="图表 3"/>
        <xdr:cNvGraphicFramePr/>
      </xdr:nvGraphicFramePr>
      <xdr:xfrm>
        <a:off x="12020550" y="5016500"/>
        <a:ext cx="6304915" cy="392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tabSelected="1" topLeftCell="J16" workbookViewId="0">
      <selection activeCell="J1" sqref="J1:P19"/>
    </sheetView>
  </sheetViews>
  <sheetFormatPr defaultColWidth="9" defaultRowHeight="14"/>
  <cols>
    <col min="1" max="1" width="10.7272727272727" style="1" customWidth="1"/>
    <col min="2" max="2" width="7.54545454545455" style="1" customWidth="1"/>
    <col min="3" max="3" width="6.54545454545455" style="1" customWidth="1"/>
    <col min="4" max="4" width="7.45454545454545" style="1" customWidth="1"/>
    <col min="5" max="5" width="8.27272727272727" style="1" customWidth="1"/>
    <col min="6" max="6" width="11.8181818181818" style="1" customWidth="1"/>
    <col min="7" max="7" width="7.54545454545455" style="1" customWidth="1"/>
    <col min="8" max="8" width="5.54545454545455" style="1" customWidth="1"/>
    <col min="9" max="9" width="9" style="1"/>
    <col min="10" max="10" width="4.45454545454545" style="1" customWidth="1"/>
    <col min="11" max="11" width="5.63636363636364" style="1" customWidth="1"/>
    <col min="12" max="12" width="14.2727272727273" style="1" customWidth="1"/>
    <col min="13" max="13" width="11.6363636363636" style="1" customWidth="1"/>
    <col min="14" max="14" width="7.63636363636364" style="1" customWidth="1"/>
    <col min="15" max="18" width="12.8181818181818" style="1" customWidth="1"/>
    <col min="19" max="19" width="9" style="1"/>
    <col min="20" max="21" width="14" style="1"/>
    <col min="22" max="22" width="12.8181818181818" style="1"/>
    <col min="23" max="23" width="14" style="1"/>
    <col min="24" max="16384" width="9" style="1"/>
  </cols>
  <sheetData>
    <row r="1" spans="1:20">
      <c r="A1" s="2" t="s">
        <v>0</v>
      </c>
      <c r="B1" s="3" t="s">
        <v>1</v>
      </c>
      <c r="C1" s="3"/>
      <c r="D1" s="3"/>
      <c r="E1" s="3" t="s">
        <v>2</v>
      </c>
      <c r="F1" s="3"/>
      <c r="G1" s="3"/>
      <c r="H1" s="3"/>
      <c r="J1" s="3" t="s">
        <v>0</v>
      </c>
      <c r="K1" s="3" t="s">
        <v>3</v>
      </c>
      <c r="L1" s="3" t="s">
        <v>4</v>
      </c>
      <c r="M1" s="3" t="s">
        <v>5</v>
      </c>
      <c r="N1" s="3"/>
      <c r="O1" s="3"/>
      <c r="P1" s="3"/>
      <c r="Q1" s="17"/>
      <c r="R1" s="18"/>
      <c r="T1" s="1" t="s">
        <v>6</v>
      </c>
    </row>
    <row r="2" ht="17" spans="1:18">
      <c r="A2" s="4"/>
      <c r="B2" s="5" t="s">
        <v>7</v>
      </c>
      <c r="C2" s="5" t="s">
        <v>8</v>
      </c>
      <c r="D2" s="5" t="s">
        <v>9</v>
      </c>
      <c r="E2" s="3" t="s">
        <v>10</v>
      </c>
      <c r="F2" s="3" t="s">
        <v>11</v>
      </c>
      <c r="G2" s="3" t="s">
        <v>12</v>
      </c>
      <c r="H2" s="3" t="s">
        <v>3</v>
      </c>
      <c r="J2" s="3"/>
      <c r="K2" s="3"/>
      <c r="L2" s="3"/>
      <c r="M2" s="10" t="s">
        <v>13</v>
      </c>
      <c r="N2" s="10" t="s">
        <v>14</v>
      </c>
      <c r="O2" s="10" t="s">
        <v>15</v>
      </c>
      <c r="P2" s="10" t="s">
        <v>16</v>
      </c>
      <c r="Q2" s="17"/>
      <c r="R2" s="18"/>
    </row>
    <row r="3" spans="1:18">
      <c r="A3" s="4"/>
      <c r="B3" s="3" t="s">
        <v>17</v>
      </c>
      <c r="C3" s="3" t="s">
        <v>17</v>
      </c>
      <c r="D3" s="3" t="s">
        <v>17</v>
      </c>
      <c r="E3" s="3" t="s">
        <v>17</v>
      </c>
      <c r="F3" s="3"/>
      <c r="G3" s="3" t="s">
        <v>18</v>
      </c>
      <c r="H3" s="3" t="s">
        <v>19</v>
      </c>
      <c r="J3" s="3"/>
      <c r="K3" s="3"/>
      <c r="L3" s="3"/>
      <c r="M3" s="11"/>
      <c r="N3" s="11"/>
      <c r="O3" s="11"/>
      <c r="P3" s="11"/>
      <c r="Q3" s="17"/>
      <c r="R3" s="18"/>
    </row>
    <row r="4" spans="1:23">
      <c r="A4" s="6"/>
      <c r="B4" s="7"/>
      <c r="C4" s="7"/>
      <c r="D4" s="7"/>
      <c r="E4" s="7"/>
      <c r="F4" s="3"/>
      <c r="G4" s="7"/>
      <c r="H4" s="7"/>
      <c r="J4" s="3"/>
      <c r="K4" s="7" t="s">
        <v>19</v>
      </c>
      <c r="L4" s="7" t="s">
        <v>20</v>
      </c>
      <c r="M4" s="7" t="s">
        <v>21</v>
      </c>
      <c r="N4" s="7" t="s">
        <v>22</v>
      </c>
      <c r="O4" s="3"/>
      <c r="P4" s="7"/>
      <c r="Q4" s="18"/>
      <c r="R4" s="18"/>
      <c r="T4" s="1" t="s">
        <v>23</v>
      </c>
      <c r="U4" s="1" t="s">
        <v>24</v>
      </c>
      <c r="V4" s="1" t="s">
        <v>25</v>
      </c>
      <c r="W4" s="1" t="s">
        <v>26</v>
      </c>
    </row>
    <row r="5" spans="1:23">
      <c r="A5" s="3">
        <v>1</v>
      </c>
      <c r="B5" s="8">
        <v>146.1</v>
      </c>
      <c r="C5" s="8">
        <v>39.8</v>
      </c>
      <c r="D5" s="9">
        <f>B5-C5</f>
        <v>106.3</v>
      </c>
      <c r="E5" s="8">
        <v>6.7</v>
      </c>
      <c r="F5" s="8">
        <v>17</v>
      </c>
      <c r="G5" s="8">
        <v>18.56</v>
      </c>
      <c r="H5" s="8">
        <v>23.6</v>
      </c>
      <c r="J5" s="3">
        <v>1</v>
      </c>
      <c r="K5" s="12">
        <v>23.6</v>
      </c>
      <c r="L5" s="13">
        <v>0.9251</v>
      </c>
      <c r="M5" s="14">
        <f>(F5-E5)*$B$23/(G5*1000000)</f>
        <v>7.19224137931035e-5</v>
      </c>
      <c r="N5" s="15">
        <f>M5/((PI()*0.008*0.008)/4)</f>
        <v>1.43085095928414</v>
      </c>
      <c r="O5" s="12">
        <f>(1000000*N5*0.008)/L5</f>
        <v>12373.5895300758</v>
      </c>
      <c r="P5" s="16">
        <f>(D5*0.008*19.6)/(100*2.106*N5*N5)</f>
        <v>0.0386573569978154</v>
      </c>
      <c r="Q5" s="19"/>
      <c r="R5" s="18">
        <f t="shared" ref="R5:R12" si="0">0.3164/(O5^0.25)</f>
        <v>0.0299993986061681</v>
      </c>
      <c r="S5" s="20" t="s">
        <v>27</v>
      </c>
      <c r="T5" s="21">
        <f>LN(N5)</f>
        <v>0.358269343706529</v>
      </c>
      <c r="U5" s="21">
        <f>LN(D5)</f>
        <v>4.6662652853479</v>
      </c>
      <c r="V5" s="21">
        <f>LN(O5)</f>
        <v>9.42331960357337</v>
      </c>
      <c r="W5" s="21">
        <f>LN(P5)</f>
        <v>-3.25301817283086</v>
      </c>
    </row>
    <row r="6" spans="1:23">
      <c r="A6" s="3">
        <v>2</v>
      </c>
      <c r="B6" s="8">
        <v>145</v>
      </c>
      <c r="C6" s="8">
        <v>41.45</v>
      </c>
      <c r="D6" s="9">
        <f t="shared" ref="D6:D19" si="1">B6-C6</f>
        <v>103.55</v>
      </c>
      <c r="E6" s="8">
        <v>6.52</v>
      </c>
      <c r="F6" s="8">
        <v>17</v>
      </c>
      <c r="G6" s="8">
        <v>21.23</v>
      </c>
      <c r="H6" s="8">
        <v>23.6</v>
      </c>
      <c r="J6" s="3">
        <v>2</v>
      </c>
      <c r="K6" s="12">
        <v>23.6</v>
      </c>
      <c r="L6" s="13">
        <v>0.9251</v>
      </c>
      <c r="M6" s="14">
        <f t="shared" ref="M6:M19" si="2">(F6-E6)*$B$23/(G6*1000000)</f>
        <v>6.39758831841733e-5</v>
      </c>
      <c r="N6" s="15">
        <f t="shared" ref="N6:N19" si="3">M6/((PI()*0.008*0.008)/4)</f>
        <v>1.27275975592886</v>
      </c>
      <c r="O6" s="12">
        <f t="shared" ref="O6:O19" si="4">(1000000*N6*0.008)/L6</f>
        <v>11006.4620553787</v>
      </c>
      <c r="P6" s="16">
        <f t="shared" ref="P6:P19" si="5">(D6*0.008*19.6)/(100*2.106*N6*N6)</f>
        <v>0.0475932021014832</v>
      </c>
      <c r="Q6" s="19"/>
      <c r="R6" s="18">
        <f t="shared" si="0"/>
        <v>0.0308904716705673</v>
      </c>
      <c r="S6" s="20"/>
      <c r="T6" s="21">
        <f t="shared" ref="T6:T19" si="6">LN(N6)</f>
        <v>0.241187579006724</v>
      </c>
      <c r="U6" s="21">
        <f t="shared" ref="U6:U19" si="7">LN(D6)</f>
        <v>4.64005458784159</v>
      </c>
      <c r="V6" s="21">
        <f t="shared" ref="V6:V19" si="8">LN(O6)</f>
        <v>9.30623783887356</v>
      </c>
      <c r="W6" s="21">
        <f t="shared" ref="W6:W19" si="9">LN(P6)</f>
        <v>-3.04506534093756</v>
      </c>
    </row>
    <row r="7" spans="1:23">
      <c r="A7" s="3">
        <v>3</v>
      </c>
      <c r="B7" s="8">
        <v>142.2</v>
      </c>
      <c r="C7" s="8">
        <v>45.1</v>
      </c>
      <c r="D7" s="9">
        <f t="shared" si="1"/>
        <v>97.1</v>
      </c>
      <c r="E7" s="8">
        <v>7.15</v>
      </c>
      <c r="F7" s="8">
        <v>17</v>
      </c>
      <c r="G7" s="8">
        <v>20.62</v>
      </c>
      <c r="H7" s="8">
        <v>23.6</v>
      </c>
      <c r="J7" s="3">
        <v>3</v>
      </c>
      <c r="K7" s="12">
        <v>23.6</v>
      </c>
      <c r="L7" s="13">
        <v>0.9251</v>
      </c>
      <c r="M7" s="14">
        <f t="shared" si="2"/>
        <v>6.19088263821532e-5</v>
      </c>
      <c r="N7" s="15">
        <f t="shared" si="3"/>
        <v>1.2316369674672</v>
      </c>
      <c r="O7" s="12">
        <f t="shared" si="4"/>
        <v>10650.8439517216</v>
      </c>
      <c r="P7" s="16">
        <f t="shared" si="5"/>
        <v>0.0476586229792636</v>
      </c>
      <c r="Q7" s="19"/>
      <c r="R7" s="18">
        <f t="shared" si="0"/>
        <v>0.0311451530504764</v>
      </c>
      <c r="S7" s="20"/>
      <c r="T7" s="21">
        <f t="shared" si="6"/>
        <v>0.208344152424177</v>
      </c>
      <c r="U7" s="21">
        <f t="shared" si="7"/>
        <v>4.57574137529728</v>
      </c>
      <c r="V7" s="21">
        <f t="shared" si="8"/>
        <v>9.27339441229102</v>
      </c>
      <c r="W7" s="21">
        <f t="shared" si="9"/>
        <v>-3.04369170031678</v>
      </c>
    </row>
    <row r="8" spans="1:23">
      <c r="A8" s="3">
        <v>4</v>
      </c>
      <c r="B8" s="8">
        <v>134.05</v>
      </c>
      <c r="C8" s="8">
        <v>55.8</v>
      </c>
      <c r="D8" s="9">
        <f t="shared" si="1"/>
        <v>78.25</v>
      </c>
      <c r="E8" s="8">
        <v>6.6</v>
      </c>
      <c r="F8" s="8">
        <v>17</v>
      </c>
      <c r="G8" s="8">
        <v>21.69</v>
      </c>
      <c r="H8" s="8">
        <v>23.8</v>
      </c>
      <c r="J8" s="3">
        <v>4</v>
      </c>
      <c r="K8" s="12">
        <v>23.8</v>
      </c>
      <c r="L8" s="13">
        <v>0.9202</v>
      </c>
      <c r="M8" s="14">
        <f t="shared" si="2"/>
        <v>6.21410788381743e-5</v>
      </c>
      <c r="N8" s="15">
        <f t="shared" si="3"/>
        <v>1.23625748326983</v>
      </c>
      <c r="O8" s="12">
        <f t="shared" si="4"/>
        <v>10747.7286091704</v>
      </c>
      <c r="P8" s="16">
        <f t="shared" si="5"/>
        <v>0.0381201122473879</v>
      </c>
      <c r="Q8" s="19"/>
      <c r="R8" s="18">
        <f t="shared" si="0"/>
        <v>0.0310747255695479</v>
      </c>
      <c r="S8" s="20"/>
      <c r="T8" s="21">
        <f t="shared" si="6"/>
        <v>0.212088657137537</v>
      </c>
      <c r="U8" s="21">
        <f t="shared" si="7"/>
        <v>4.35990882942026</v>
      </c>
      <c r="V8" s="21">
        <f t="shared" si="8"/>
        <v>9.28244971906028</v>
      </c>
      <c r="W8" s="21">
        <f t="shared" si="9"/>
        <v>-3.26701325562052</v>
      </c>
    </row>
    <row r="9" spans="1:23">
      <c r="A9" s="3">
        <v>5</v>
      </c>
      <c r="B9" s="8">
        <v>130.45</v>
      </c>
      <c r="C9" s="8">
        <v>60.5</v>
      </c>
      <c r="D9" s="9">
        <f t="shared" si="1"/>
        <v>69.95</v>
      </c>
      <c r="E9" s="8">
        <v>6.27</v>
      </c>
      <c r="F9" s="8">
        <v>17</v>
      </c>
      <c r="G9" s="8">
        <v>24.01</v>
      </c>
      <c r="H9" s="8">
        <v>23.8</v>
      </c>
      <c r="J9" s="3">
        <v>5</v>
      </c>
      <c r="K9" s="12">
        <v>23.8</v>
      </c>
      <c r="L9" s="13">
        <v>0.9202</v>
      </c>
      <c r="M9" s="14">
        <f t="shared" si="2"/>
        <v>5.79178675551853e-5</v>
      </c>
      <c r="N9" s="15">
        <f t="shared" si="3"/>
        <v>1.15223936434368</v>
      </c>
      <c r="O9" s="12">
        <f t="shared" si="4"/>
        <v>10017.2950605841</v>
      </c>
      <c r="P9" s="16">
        <f t="shared" si="5"/>
        <v>0.0392274424689891</v>
      </c>
      <c r="Q9" s="19"/>
      <c r="R9" s="18">
        <f t="shared" si="0"/>
        <v>0.0316263343756249</v>
      </c>
      <c r="S9" s="20"/>
      <c r="T9" s="21">
        <f t="shared" si="6"/>
        <v>0.141707322238438</v>
      </c>
      <c r="U9" s="21">
        <f t="shared" si="7"/>
        <v>4.24778070111149</v>
      </c>
      <c r="V9" s="21">
        <f t="shared" si="8"/>
        <v>9.21206838416118</v>
      </c>
      <c r="W9" s="21">
        <f t="shared" si="9"/>
        <v>-3.23837871413109</v>
      </c>
    </row>
    <row r="10" spans="1:23">
      <c r="A10" s="3">
        <v>6</v>
      </c>
      <c r="B10" s="8">
        <v>146</v>
      </c>
      <c r="C10" s="8">
        <v>40.15</v>
      </c>
      <c r="D10" s="9">
        <f t="shared" si="1"/>
        <v>105.85</v>
      </c>
      <c r="E10" s="8">
        <v>7.18</v>
      </c>
      <c r="F10" s="8">
        <v>17</v>
      </c>
      <c r="G10" s="8">
        <v>23.37</v>
      </c>
      <c r="H10" s="8">
        <v>23.6</v>
      </c>
      <c r="J10" s="3">
        <v>6</v>
      </c>
      <c r="K10" s="12">
        <v>23.6</v>
      </c>
      <c r="L10" s="13">
        <v>0.9251</v>
      </c>
      <c r="M10" s="14">
        <f t="shared" si="2"/>
        <v>5.44575096277279e-5</v>
      </c>
      <c r="N10" s="15">
        <f t="shared" si="3"/>
        <v>1.08339773071592</v>
      </c>
      <c r="O10" s="12">
        <f t="shared" si="4"/>
        <v>9368.91346419562</v>
      </c>
      <c r="P10" s="16">
        <f>(D10*0.008*19.6)/(100*2.106*N10*N10)</f>
        <v>0.067143304373472</v>
      </c>
      <c r="Q10" s="19"/>
      <c r="R10" s="18">
        <f t="shared" si="0"/>
        <v>0.0321598613651276</v>
      </c>
      <c r="S10" s="20"/>
      <c r="T10" s="21">
        <f t="shared" si="6"/>
        <v>0.0801021496446009</v>
      </c>
      <c r="U10" s="21">
        <f t="shared" si="7"/>
        <v>4.66202299758087</v>
      </c>
      <c r="V10" s="21">
        <f t="shared" si="8"/>
        <v>9.14515240951144</v>
      </c>
      <c r="W10" s="21">
        <f t="shared" si="9"/>
        <v>-2.70092607247403</v>
      </c>
    </row>
    <row r="11" spans="1:23">
      <c r="A11" s="3">
        <v>7</v>
      </c>
      <c r="B11" s="8">
        <v>114.9</v>
      </c>
      <c r="C11" s="8">
        <v>80.55</v>
      </c>
      <c r="D11" s="9">
        <f t="shared" si="1"/>
        <v>34.35</v>
      </c>
      <c r="E11" s="8">
        <v>6.42</v>
      </c>
      <c r="F11" s="8">
        <v>17</v>
      </c>
      <c r="G11" s="8">
        <v>35.31</v>
      </c>
      <c r="H11" s="8">
        <v>23.8</v>
      </c>
      <c r="J11" s="3">
        <v>7</v>
      </c>
      <c r="K11" s="12">
        <v>23.8</v>
      </c>
      <c r="L11" s="13">
        <v>0.9202</v>
      </c>
      <c r="M11" s="14">
        <f t="shared" si="2"/>
        <v>3.88322854715378e-5</v>
      </c>
      <c r="N11" s="15">
        <f t="shared" si="3"/>
        <v>0.772543773043854</v>
      </c>
      <c r="O11" s="12">
        <f t="shared" si="4"/>
        <v>6716.31187171358</v>
      </c>
      <c r="P11" s="16">
        <f t="shared" si="5"/>
        <v>0.0428517181996087</v>
      </c>
      <c r="Q11" s="19"/>
      <c r="R11" s="18">
        <f t="shared" si="0"/>
        <v>0.034950529624195</v>
      </c>
      <c r="S11" s="20"/>
      <c r="T11" s="21">
        <f t="shared" si="6"/>
        <v>-0.258066607681149</v>
      </c>
      <c r="U11" s="21">
        <f t="shared" si="7"/>
        <v>3.53660201866836</v>
      </c>
      <c r="V11" s="21">
        <f t="shared" si="8"/>
        <v>8.81229445424159</v>
      </c>
      <c r="W11" s="21">
        <f t="shared" si="9"/>
        <v>-3.15000953673505</v>
      </c>
    </row>
    <row r="12" spans="1:23">
      <c r="A12" s="3">
        <v>8</v>
      </c>
      <c r="B12" s="8">
        <v>110.5</v>
      </c>
      <c r="C12" s="8">
        <v>86.2</v>
      </c>
      <c r="D12" s="9">
        <f t="shared" si="1"/>
        <v>24.3</v>
      </c>
      <c r="E12" s="8">
        <v>6.73</v>
      </c>
      <c r="F12" s="8">
        <v>14</v>
      </c>
      <c r="G12" s="8">
        <v>31.91</v>
      </c>
      <c r="H12" s="8">
        <v>23.8</v>
      </c>
      <c r="J12" s="3">
        <v>8</v>
      </c>
      <c r="K12" s="12">
        <v>23.8</v>
      </c>
      <c r="L12" s="13">
        <v>0.9202</v>
      </c>
      <c r="M12" s="14">
        <f t="shared" si="2"/>
        <v>2.95265434033218e-5</v>
      </c>
      <c r="N12" s="15">
        <f t="shared" si="3"/>
        <v>0.587411916882008</v>
      </c>
      <c r="O12" s="12">
        <f t="shared" si="4"/>
        <v>5106.81953385793</v>
      </c>
      <c r="P12" s="16">
        <f t="shared" si="5"/>
        <v>0.0524334530386796</v>
      </c>
      <c r="Q12" s="19"/>
      <c r="R12" s="18">
        <f t="shared" si="0"/>
        <v>0.0374281918649563</v>
      </c>
      <c r="S12" s="20"/>
      <c r="T12" s="21">
        <f t="shared" si="6"/>
        <v>-0.532028972915731</v>
      </c>
      <c r="U12" s="21">
        <f t="shared" si="7"/>
        <v>3.1904763503465</v>
      </c>
      <c r="V12" s="21">
        <f t="shared" si="8"/>
        <v>8.53833208900701</v>
      </c>
      <c r="W12" s="21">
        <f t="shared" si="9"/>
        <v>-2.94821047458774</v>
      </c>
    </row>
    <row r="13" spans="1:23">
      <c r="A13" s="3">
        <v>9</v>
      </c>
      <c r="B13" s="8">
        <v>107</v>
      </c>
      <c r="C13" s="8">
        <v>90.65</v>
      </c>
      <c r="D13" s="9">
        <f t="shared" si="1"/>
        <v>16.35</v>
      </c>
      <c r="E13" s="8">
        <v>6.35</v>
      </c>
      <c r="F13" s="8">
        <v>13</v>
      </c>
      <c r="G13" s="8">
        <v>35.1</v>
      </c>
      <c r="H13" s="8">
        <v>23.8</v>
      </c>
      <c r="J13" s="3">
        <v>9</v>
      </c>
      <c r="K13" s="12">
        <v>23.8</v>
      </c>
      <c r="L13" s="13">
        <v>0.9202</v>
      </c>
      <c r="M13" s="14">
        <f t="shared" si="2"/>
        <v>2.45538461538462e-5</v>
      </c>
      <c r="N13" s="15">
        <f t="shared" si="3"/>
        <v>0.488483248412817</v>
      </c>
      <c r="O13" s="12">
        <f t="shared" si="4"/>
        <v>4246.75721289126</v>
      </c>
      <c r="P13" s="16">
        <f t="shared" si="5"/>
        <v>0.0510159641100961</v>
      </c>
      <c r="Q13" s="19"/>
      <c r="R13" s="18">
        <f>0.3164/(O13^0.25)</f>
        <v>0.0391942281704838</v>
      </c>
      <c r="S13" s="20"/>
      <c r="T13" s="21">
        <f t="shared" si="6"/>
        <v>-0.716450099975064</v>
      </c>
      <c r="U13" s="21">
        <f t="shared" si="7"/>
        <v>2.79422789734326</v>
      </c>
      <c r="V13" s="21">
        <f t="shared" si="8"/>
        <v>8.35391096194768</v>
      </c>
      <c r="W13" s="21">
        <f t="shared" si="9"/>
        <v>-2.97561667347231</v>
      </c>
    </row>
    <row r="14" spans="1:23">
      <c r="A14" s="3">
        <v>10</v>
      </c>
      <c r="B14" s="8">
        <v>101.05</v>
      </c>
      <c r="C14" s="8">
        <v>98.1</v>
      </c>
      <c r="D14" s="9">
        <f t="shared" si="1"/>
        <v>2.95</v>
      </c>
      <c r="E14" s="8">
        <v>6.92</v>
      </c>
      <c r="F14" s="8">
        <v>11</v>
      </c>
      <c r="G14" s="8">
        <v>47.38</v>
      </c>
      <c r="H14" s="8">
        <v>23.8</v>
      </c>
      <c r="J14" s="3">
        <v>10</v>
      </c>
      <c r="K14" s="12">
        <v>23.8</v>
      </c>
      <c r="L14" s="13">
        <v>0.9202</v>
      </c>
      <c r="M14" s="14">
        <f t="shared" si="2"/>
        <v>1.11601519628535e-5</v>
      </c>
      <c r="N14" s="15">
        <f t="shared" si="3"/>
        <v>0.222024168818107</v>
      </c>
      <c r="O14" s="12">
        <f t="shared" si="4"/>
        <v>1930.22533204179</v>
      </c>
      <c r="P14" s="16">
        <f t="shared" si="5"/>
        <v>0.0445563084424893</v>
      </c>
      <c r="Q14" s="19">
        <f>64/O14</f>
        <v>0.0331567506329952</v>
      </c>
      <c r="R14" s="18"/>
      <c r="S14" s="22" t="s">
        <v>28</v>
      </c>
      <c r="T14" s="21">
        <f t="shared" si="6"/>
        <v>-1.50496903448558</v>
      </c>
      <c r="U14" s="21">
        <f t="shared" si="7"/>
        <v>1.08180517035173</v>
      </c>
      <c r="V14" s="21">
        <f t="shared" si="8"/>
        <v>7.56539202743717</v>
      </c>
      <c r="W14" s="21">
        <f t="shared" si="9"/>
        <v>-3.11100153144282</v>
      </c>
    </row>
    <row r="15" spans="1:23">
      <c r="A15" s="3">
        <v>11</v>
      </c>
      <c r="B15" s="8">
        <v>100.3</v>
      </c>
      <c r="C15" s="8">
        <v>98.6</v>
      </c>
      <c r="D15" s="9">
        <f t="shared" si="1"/>
        <v>1.7</v>
      </c>
      <c r="E15" s="8">
        <v>6.91</v>
      </c>
      <c r="F15" s="8">
        <v>10</v>
      </c>
      <c r="G15" s="8">
        <v>61.09</v>
      </c>
      <c r="H15" s="8">
        <v>23.9</v>
      </c>
      <c r="J15" s="3">
        <v>11</v>
      </c>
      <c r="K15" s="12">
        <v>23.9</v>
      </c>
      <c r="L15" s="13">
        <v>0.9184</v>
      </c>
      <c r="M15" s="14">
        <f t="shared" si="2"/>
        <v>6.55531183499754e-6</v>
      </c>
      <c r="N15" s="15">
        <f t="shared" si="3"/>
        <v>0.130413785256083</v>
      </c>
      <c r="O15" s="12">
        <f t="shared" si="4"/>
        <v>1136.00858237006</v>
      </c>
      <c r="P15" s="16">
        <f t="shared" si="5"/>
        <v>0.0744199907872649</v>
      </c>
      <c r="Q15" s="19">
        <f>64/O15</f>
        <v>0.0563376025438792</v>
      </c>
      <c r="R15" s="18"/>
      <c r="S15" s="23"/>
      <c r="T15" s="21">
        <f t="shared" si="6"/>
        <v>-2.03704291992303</v>
      </c>
      <c r="U15" s="21">
        <f t="shared" si="7"/>
        <v>0.530628251062172</v>
      </c>
      <c r="V15" s="21">
        <f t="shared" si="8"/>
        <v>7.03527615415578</v>
      </c>
      <c r="W15" s="21">
        <f t="shared" si="9"/>
        <v>-2.59803067985748</v>
      </c>
    </row>
    <row r="16" spans="1:23">
      <c r="A16" s="3">
        <v>12</v>
      </c>
      <c r="B16" s="8">
        <v>100.45</v>
      </c>
      <c r="C16" s="8">
        <v>98.85</v>
      </c>
      <c r="D16" s="9">
        <f t="shared" si="1"/>
        <v>1.60000000000001</v>
      </c>
      <c r="E16" s="8">
        <v>6.32</v>
      </c>
      <c r="F16" s="8">
        <v>10</v>
      </c>
      <c r="G16" s="8">
        <v>86.79</v>
      </c>
      <c r="H16" s="8">
        <v>24.1</v>
      </c>
      <c r="J16" s="3">
        <v>12</v>
      </c>
      <c r="K16" s="12">
        <v>24.1</v>
      </c>
      <c r="L16" s="13">
        <v>0.9146</v>
      </c>
      <c r="M16" s="14">
        <f t="shared" si="2"/>
        <v>5.49519529899758e-6</v>
      </c>
      <c r="N16" s="15">
        <f t="shared" si="3"/>
        <v>0.109323436886351</v>
      </c>
      <c r="O16" s="12">
        <f t="shared" si="4"/>
        <v>956.25136135011</v>
      </c>
      <c r="P16" s="16">
        <f t="shared" si="5"/>
        <v>0.0996738241895415</v>
      </c>
      <c r="Q16" s="19">
        <f>64/O16</f>
        <v>0.066928009294167</v>
      </c>
      <c r="R16" s="18"/>
      <c r="S16" s="23"/>
      <c r="T16" s="21">
        <f t="shared" si="6"/>
        <v>-2.21344447964632</v>
      </c>
      <c r="U16" s="21">
        <f t="shared" si="7"/>
        <v>0.470003629245741</v>
      </c>
      <c r="V16" s="21">
        <f t="shared" si="8"/>
        <v>6.86302080877383</v>
      </c>
      <c r="W16" s="21">
        <f t="shared" si="9"/>
        <v>-2.30585218222732</v>
      </c>
    </row>
    <row r="17" spans="1:23">
      <c r="A17" s="3">
        <v>13</v>
      </c>
      <c r="B17" s="8">
        <v>100.4</v>
      </c>
      <c r="C17" s="8">
        <v>99</v>
      </c>
      <c r="D17" s="9">
        <f t="shared" si="1"/>
        <v>1.40000000000001</v>
      </c>
      <c r="E17" s="8">
        <v>6.6</v>
      </c>
      <c r="F17" s="8">
        <v>8.1</v>
      </c>
      <c r="G17" s="8">
        <v>39.69</v>
      </c>
      <c r="H17" s="8">
        <v>24.1</v>
      </c>
      <c r="J17" s="3">
        <v>13</v>
      </c>
      <c r="K17" s="12">
        <v>24.1</v>
      </c>
      <c r="L17" s="13">
        <v>0.9146</v>
      </c>
      <c r="M17" s="14">
        <f t="shared" si="2"/>
        <v>4.89795918367347e-6</v>
      </c>
      <c r="N17" s="15">
        <f t="shared" si="3"/>
        <v>0.0974418018929971</v>
      </c>
      <c r="O17" s="12">
        <f t="shared" si="4"/>
        <v>852.322780607891</v>
      </c>
      <c r="P17" s="16">
        <f t="shared" si="5"/>
        <v>0.109780477262072</v>
      </c>
      <c r="Q17" s="19">
        <f>64/O17</f>
        <v>0.0750889234174336</v>
      </c>
      <c r="R17" s="18"/>
      <c r="S17" s="23"/>
      <c r="T17" s="21">
        <f t="shared" si="6"/>
        <v>-2.32849998285782</v>
      </c>
      <c r="U17" s="21">
        <f t="shared" si="7"/>
        <v>0.336472236621217</v>
      </c>
      <c r="V17" s="21">
        <f t="shared" si="8"/>
        <v>6.74796530556234</v>
      </c>
      <c r="W17" s="21">
        <f t="shared" si="9"/>
        <v>-2.20927256842885</v>
      </c>
    </row>
    <row r="18" spans="1:23">
      <c r="A18" s="3">
        <v>14</v>
      </c>
      <c r="B18" s="8">
        <v>100.2</v>
      </c>
      <c r="C18" s="8">
        <v>99.1</v>
      </c>
      <c r="D18" s="9">
        <f t="shared" si="1"/>
        <v>1.10000000000001</v>
      </c>
      <c r="E18" s="8">
        <v>7.2</v>
      </c>
      <c r="F18" s="8">
        <v>11</v>
      </c>
      <c r="G18" s="8">
        <v>113.36</v>
      </c>
      <c r="H18" s="8">
        <v>24.1</v>
      </c>
      <c r="J18" s="3">
        <v>14</v>
      </c>
      <c r="K18" s="12">
        <v>24.1</v>
      </c>
      <c r="L18" s="13">
        <v>0.9146</v>
      </c>
      <c r="M18" s="14">
        <f t="shared" si="2"/>
        <v>4.34438955539873e-6</v>
      </c>
      <c r="N18" s="15">
        <f t="shared" si="3"/>
        <v>0.0864288840573137</v>
      </c>
      <c r="O18" s="12">
        <f t="shared" si="4"/>
        <v>755.992862954854</v>
      </c>
      <c r="P18" s="16">
        <f t="shared" si="5"/>
        <v>0.109638368813252</v>
      </c>
      <c r="Q18" s="19">
        <f>64/O18</f>
        <v>0.0846568838624366</v>
      </c>
      <c r="R18" s="18"/>
      <c r="S18" s="23"/>
      <c r="T18" s="21">
        <f t="shared" si="6"/>
        <v>-2.44843335282109</v>
      </c>
      <c r="U18" s="21">
        <f t="shared" si="7"/>
        <v>0.0953101798043326</v>
      </c>
      <c r="V18" s="21">
        <f t="shared" si="8"/>
        <v>6.62803193559906</v>
      </c>
      <c r="W18" s="21">
        <f t="shared" si="9"/>
        <v>-2.21056788531919</v>
      </c>
    </row>
    <row r="19" spans="1:23">
      <c r="A19" s="3">
        <v>15</v>
      </c>
      <c r="B19" s="8">
        <v>100</v>
      </c>
      <c r="C19" s="8">
        <v>99.3</v>
      </c>
      <c r="D19" s="9">
        <f t="shared" si="1"/>
        <v>0.700000000000003</v>
      </c>
      <c r="E19" s="8">
        <v>6.48</v>
      </c>
      <c r="F19" s="8">
        <v>10</v>
      </c>
      <c r="G19" s="8">
        <v>175.18</v>
      </c>
      <c r="H19" s="8">
        <v>24.2</v>
      </c>
      <c r="J19" s="3">
        <v>15</v>
      </c>
      <c r="K19" s="12">
        <v>24.2</v>
      </c>
      <c r="L19" s="13">
        <v>0.9126</v>
      </c>
      <c r="M19" s="14">
        <f t="shared" si="2"/>
        <v>2.60413289188263e-6</v>
      </c>
      <c r="N19" s="15">
        <f t="shared" si="3"/>
        <v>0.0518075777764142</v>
      </c>
      <c r="O19" s="12">
        <f t="shared" si="4"/>
        <v>454.153651338279</v>
      </c>
      <c r="P19" s="16">
        <f t="shared" si="5"/>
        <v>0.194177612169162</v>
      </c>
      <c r="Q19" s="19">
        <f>64/O19</f>
        <v>0.140921469664304</v>
      </c>
      <c r="R19" s="18"/>
      <c r="S19" s="23"/>
      <c r="T19" s="21">
        <f t="shared" si="6"/>
        <v>-2.96021885129594</v>
      </c>
      <c r="U19" s="21">
        <f t="shared" si="7"/>
        <v>-0.356674943938728</v>
      </c>
      <c r="V19" s="21">
        <f t="shared" si="8"/>
        <v>6.11843557985486</v>
      </c>
      <c r="W19" s="21">
        <f t="shared" si="9"/>
        <v>-1.63898201211254</v>
      </c>
    </row>
    <row r="20" spans="17:21">
      <c r="Q20" s="18"/>
      <c r="R20" s="18"/>
      <c r="S20" s="24"/>
      <c r="T20" s="24"/>
      <c r="U20" s="24"/>
    </row>
    <row r="21" spans="1:21">
      <c r="A21" s="1" t="s">
        <v>29</v>
      </c>
      <c r="B21" s="1">
        <v>0.8</v>
      </c>
      <c r="C21" s="1" t="s">
        <v>30</v>
      </c>
      <c r="R21" s="24"/>
      <c r="S21" s="24"/>
      <c r="T21" s="24"/>
      <c r="U21" s="24"/>
    </row>
    <row r="22" spans="1:3">
      <c r="A22" s="1" t="s">
        <v>31</v>
      </c>
      <c r="B22" s="1">
        <v>210.6</v>
      </c>
      <c r="C22" s="1" t="s">
        <v>30</v>
      </c>
    </row>
    <row r="23" spans="1:3">
      <c r="A23" s="1" t="s">
        <v>32</v>
      </c>
      <c r="B23" s="1">
        <v>129.6</v>
      </c>
      <c r="C23" s="1" t="s">
        <v>33</v>
      </c>
    </row>
  </sheetData>
  <mergeCells count="15">
    <mergeCell ref="B1:D1"/>
    <mergeCell ref="E1:G1"/>
    <mergeCell ref="M1:P1"/>
    <mergeCell ref="A1:A4"/>
    <mergeCell ref="F2:F4"/>
    <mergeCell ref="J1:J4"/>
    <mergeCell ref="K1:K3"/>
    <mergeCell ref="L1:L3"/>
    <mergeCell ref="M2:M3"/>
    <mergeCell ref="N2:N3"/>
    <mergeCell ref="O2:O3"/>
    <mergeCell ref="P2:P3"/>
    <mergeCell ref="S5:S13"/>
    <mergeCell ref="S14:S19"/>
    <mergeCell ref="T1:T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粮食和蔬菜</cp:lastModifiedBy>
  <dcterms:created xsi:type="dcterms:W3CDTF">2020-05-21T08:20:00Z</dcterms:created>
  <dcterms:modified xsi:type="dcterms:W3CDTF">2020-05-21T12:44:55Z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