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740" windowHeight="7670"/>
  </bookViews>
  <sheets>
    <sheet name="静水压强" sheetId="1" r:id="rId1"/>
    <sheet name="静水总压力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<sst xmlns="http://schemas.openxmlformats.org/spreadsheetml/2006/main" count="27" uniqueCount="22">
  <si>
    <t>p0</t>
  </si>
  <si>
    <t>pA</t>
  </si>
  <si>
    <t>pB</t>
  </si>
  <si>
    <t>密度</t>
  </si>
  <si>
    <t>cm</t>
  </si>
  <si>
    <t>kpa</t>
  </si>
  <si>
    <t>大于大气</t>
  </si>
  <si>
    <t>小于大气</t>
  </si>
  <si>
    <t>A高程</t>
  </si>
  <si>
    <t>B高程</t>
  </si>
  <si>
    <t>水密度</t>
  </si>
  <si>
    <t>H</t>
  </si>
  <si>
    <t>h</t>
  </si>
  <si>
    <t>m</t>
  </si>
  <si>
    <t>e</t>
  </si>
  <si>
    <t>L1</t>
  </si>
  <si>
    <t>Mo</t>
  </si>
  <si>
    <r>
      <rPr>
        <sz val="11"/>
        <color theme="1"/>
        <rFont val="Tahoma"/>
        <charset val="134"/>
      </rPr>
      <t>P</t>
    </r>
    <r>
      <rPr>
        <sz val="11"/>
        <color theme="1"/>
        <rFont val="宋体"/>
        <charset val="134"/>
      </rPr>
      <t>实</t>
    </r>
  </si>
  <si>
    <r>
      <rPr>
        <sz val="11"/>
        <color theme="1"/>
        <rFont val="Tahoma"/>
        <charset val="134"/>
      </rPr>
      <t>P</t>
    </r>
    <r>
      <rPr>
        <sz val="11"/>
        <color theme="1"/>
        <rFont val="宋体"/>
        <charset val="134"/>
      </rPr>
      <t>理</t>
    </r>
  </si>
  <si>
    <t>相对值</t>
  </si>
  <si>
    <t>三角</t>
  </si>
  <si>
    <t>梯形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</si>
</sst>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_ "/>
    <numFmt numFmtId="177" formatCode="0.000000_ "/>
    <numFmt numFmtId="178" formatCode="0.00_ "/>
    <numFmt numFmtId="179" formatCode="0.0000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Tahoma"/>
      <charset val="134"/>
    </font>
    <font>
      <sz val="11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1" fillId="25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4" fillId="11" borderId="3" applyNumberFormat="0" applyAlignment="0" applyProtection="0">
      <alignment vertical="center"/>
    </xf>
    <xf numFmtId="0" fontId="22" fillId="11" borderId="8" applyNumberFormat="0" applyAlignment="0" applyProtection="0">
      <alignment vertical="center"/>
    </xf>
    <xf numFmtId="0" fontId="18" fillId="20" borderId="6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78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Fill="1" applyAlignment="1">
      <alignment horizontal="center" vertical="center"/>
    </xf>
    <xf numFmtId="10" fontId="2" fillId="0" borderId="0" xfId="11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abSelected="1" workbookViewId="0">
      <selection activeCell="I4" sqref="I4"/>
    </sheetView>
  </sheetViews>
  <sheetFormatPr defaultColWidth="9" defaultRowHeight="14"/>
  <cols>
    <col min="1" max="8" width="9" style="9"/>
    <col min="9" max="9" width="12.8181818181818" style="9"/>
    <col min="10" max="11" width="10.5454545454545" style="9"/>
    <col min="12" max="12" width="9.54545454545454" style="9"/>
    <col min="13" max="13" width="12.8181818181818" style="9"/>
    <col min="14" max="16384" width="9" style="9"/>
  </cols>
  <sheetData>
    <row r="1" spans="2:13">
      <c r="B1" s="9">
        <v>1</v>
      </c>
      <c r="C1" s="9">
        <v>2</v>
      </c>
      <c r="D1" s="9">
        <v>3</v>
      </c>
      <c r="E1" s="9">
        <v>4</v>
      </c>
      <c r="F1" s="9">
        <v>5</v>
      </c>
      <c r="G1" s="9">
        <v>6</v>
      </c>
      <c r="H1" s="9">
        <v>0</v>
      </c>
      <c r="J1" s="9" t="s">
        <v>0</v>
      </c>
      <c r="K1" s="9" t="s">
        <v>1</v>
      </c>
      <c r="L1" s="9" t="s">
        <v>2</v>
      </c>
      <c r="M1" s="9" t="s">
        <v>3</v>
      </c>
    </row>
    <row r="2" spans="2:8">
      <c r="B2" s="9" t="s">
        <v>4</v>
      </c>
      <c r="C2" s="9" t="s">
        <v>4</v>
      </c>
      <c r="D2" s="9" t="s">
        <v>4</v>
      </c>
      <c r="E2" s="9" t="s">
        <v>4</v>
      </c>
      <c r="F2" s="9" t="s">
        <v>4</v>
      </c>
      <c r="G2" s="9" t="s">
        <v>4</v>
      </c>
      <c r="H2" s="9" t="s">
        <v>5</v>
      </c>
    </row>
    <row r="3" spans="1:13">
      <c r="A3" s="9" t="s">
        <v>6</v>
      </c>
      <c r="B3" s="10">
        <v>4.65</v>
      </c>
      <c r="C3" s="10">
        <v>15.31</v>
      </c>
      <c r="D3" s="10">
        <v>23.05</v>
      </c>
      <c r="E3" s="10">
        <v>39.95</v>
      </c>
      <c r="F3" s="10">
        <v>22.95</v>
      </c>
      <c r="G3" s="10">
        <v>39.7</v>
      </c>
      <c r="H3" s="10">
        <v>1.9</v>
      </c>
      <c r="J3" s="11">
        <f t="shared" ref="J3:J8" si="0">$F$11*9.8*(G3-F3)</f>
        <v>0.16415</v>
      </c>
      <c r="K3" s="11">
        <f t="shared" ref="K3:K8" si="1">$F$11*9.8*(G3-$B$11)</f>
        <v>0.294</v>
      </c>
      <c r="L3" s="11">
        <f t="shared" ref="L3:L8" si="2">$F$11*9.8*(G3-$C$11)</f>
        <v>0.38906</v>
      </c>
      <c r="M3" s="12">
        <f t="shared" ref="M3:M8" si="3">$F$11*((G3-F3)/(C3-B3))</f>
        <v>0.00157129455909944</v>
      </c>
    </row>
    <row r="4" spans="2:13">
      <c r="B4" s="10">
        <v>6.4</v>
      </c>
      <c r="C4" s="10">
        <v>13.3</v>
      </c>
      <c r="D4" s="10">
        <v>22.9</v>
      </c>
      <c r="E4" s="10">
        <v>34.09</v>
      </c>
      <c r="F4" s="10">
        <v>22.85</v>
      </c>
      <c r="G4" s="10">
        <v>33.9</v>
      </c>
      <c r="H4" s="10">
        <v>1.3</v>
      </c>
      <c r="J4" s="11">
        <f t="shared" si="0"/>
        <v>0.10829</v>
      </c>
      <c r="K4" s="11">
        <f t="shared" si="1"/>
        <v>0.23716</v>
      </c>
      <c r="L4" s="11">
        <f t="shared" si="2"/>
        <v>0.33222</v>
      </c>
      <c r="M4" s="12">
        <f t="shared" si="3"/>
        <v>0.00160144927536232</v>
      </c>
    </row>
    <row r="5" spans="2:13">
      <c r="B5" s="10">
        <v>9</v>
      </c>
      <c r="C5" s="10">
        <v>10.71</v>
      </c>
      <c r="D5" s="10">
        <v>22.8</v>
      </c>
      <c r="E5" s="10">
        <v>25.65</v>
      </c>
      <c r="F5" s="10">
        <v>22.6</v>
      </c>
      <c r="G5" s="10">
        <v>25.5</v>
      </c>
      <c r="H5" s="10">
        <v>0.5</v>
      </c>
      <c r="J5" s="11">
        <f t="shared" si="0"/>
        <v>0.02842</v>
      </c>
      <c r="K5" s="11">
        <f t="shared" si="1"/>
        <v>0.15484</v>
      </c>
      <c r="L5" s="11">
        <f t="shared" si="2"/>
        <v>0.2499</v>
      </c>
      <c r="M5" s="12">
        <f t="shared" si="3"/>
        <v>0.00169590643274854</v>
      </c>
    </row>
    <row r="6" spans="1:13">
      <c r="A6" s="9" t="s">
        <v>7</v>
      </c>
      <c r="B6" s="10">
        <v>11.35</v>
      </c>
      <c r="C6" s="10">
        <v>8.45</v>
      </c>
      <c r="D6" s="10">
        <v>22.65</v>
      </c>
      <c r="E6" s="10">
        <v>17.9</v>
      </c>
      <c r="F6" s="10">
        <v>22.5</v>
      </c>
      <c r="G6" s="10">
        <v>18.31</v>
      </c>
      <c r="H6" s="10">
        <v>-0.5</v>
      </c>
      <c r="J6" s="11">
        <f t="shared" si="0"/>
        <v>-0.041062</v>
      </c>
      <c r="K6" s="11">
        <f t="shared" si="1"/>
        <v>0.084378</v>
      </c>
      <c r="L6" s="11">
        <f t="shared" si="2"/>
        <v>0.179438</v>
      </c>
      <c r="M6" s="12">
        <f t="shared" si="3"/>
        <v>0.0014448275862069</v>
      </c>
    </row>
    <row r="7" spans="2:13">
      <c r="B7" s="10">
        <v>13.3</v>
      </c>
      <c r="C7" s="10">
        <v>6.53</v>
      </c>
      <c r="D7" s="10">
        <v>22.5</v>
      </c>
      <c r="E7" s="10">
        <v>12.5</v>
      </c>
      <c r="F7" s="10">
        <v>22.4</v>
      </c>
      <c r="G7" s="10">
        <v>12.48</v>
      </c>
      <c r="H7" s="10">
        <v>-1.1</v>
      </c>
      <c r="J7" s="11">
        <f t="shared" si="0"/>
        <v>-0.097216</v>
      </c>
      <c r="K7" s="11">
        <f t="shared" si="1"/>
        <v>0.027244</v>
      </c>
      <c r="L7" s="11">
        <f t="shared" si="2"/>
        <v>0.122304</v>
      </c>
      <c r="M7" s="12">
        <f t="shared" si="3"/>
        <v>0.00146528803545052</v>
      </c>
    </row>
    <row r="8" spans="2:13">
      <c r="B8" s="10">
        <v>15.02</v>
      </c>
      <c r="C8" s="10">
        <v>4.81</v>
      </c>
      <c r="D8" s="10">
        <v>22.4</v>
      </c>
      <c r="E8" s="10">
        <v>7.2</v>
      </c>
      <c r="F8" s="10">
        <v>22.3</v>
      </c>
      <c r="G8" s="10">
        <v>7.16</v>
      </c>
      <c r="H8" s="10">
        <v>-1.5</v>
      </c>
      <c r="J8" s="11">
        <f t="shared" si="0"/>
        <v>-0.148372</v>
      </c>
      <c r="K8" s="11">
        <f t="shared" si="1"/>
        <v>-0.024892</v>
      </c>
      <c r="L8" s="11">
        <f t="shared" si="2"/>
        <v>0.070168</v>
      </c>
      <c r="M8" s="12">
        <f t="shared" si="3"/>
        <v>0.00148285994123408</v>
      </c>
    </row>
    <row r="10" spans="2:6">
      <c r="B10" s="9" t="s">
        <v>8</v>
      </c>
      <c r="C10" s="9" t="s">
        <v>9</v>
      </c>
      <c r="F10" s="9" t="s">
        <v>10</v>
      </c>
    </row>
    <row r="11" spans="2:6">
      <c r="B11" s="9">
        <v>9.7</v>
      </c>
      <c r="C11" s="9">
        <v>0</v>
      </c>
      <c r="F11" s="9">
        <v>0.001</v>
      </c>
    </row>
    <row r="14" spans="8:9">
      <c r="H14" s="9">
        <f t="shared" ref="H14:H19" si="4">G3-F3</f>
        <v>16.75</v>
      </c>
      <c r="I14" s="9">
        <f t="shared" ref="I14:I19" si="5">H3/H14</f>
        <v>0.113432835820895</v>
      </c>
    </row>
    <row r="15" spans="8:9">
      <c r="H15" s="9">
        <f t="shared" si="4"/>
        <v>11.05</v>
      </c>
      <c r="I15" s="9">
        <f t="shared" si="5"/>
        <v>0.117647058823529</v>
      </c>
    </row>
    <row r="16" spans="8:9">
      <c r="H16" s="9">
        <f t="shared" si="4"/>
        <v>2.9</v>
      </c>
      <c r="I16" s="9">
        <f t="shared" si="5"/>
        <v>0.172413793103448</v>
      </c>
    </row>
    <row r="17" spans="8:9">
      <c r="H17" s="9">
        <f t="shared" si="4"/>
        <v>-4.19</v>
      </c>
      <c r="I17" s="9">
        <f t="shared" si="5"/>
        <v>0.119331742243437</v>
      </c>
    </row>
    <row r="18" spans="8:9">
      <c r="H18" s="9">
        <f t="shared" si="4"/>
        <v>-9.92</v>
      </c>
      <c r="I18" s="9">
        <f t="shared" si="5"/>
        <v>0.110887096774194</v>
      </c>
    </row>
    <row r="19" spans="8:9">
      <c r="H19" s="9">
        <f t="shared" si="4"/>
        <v>-15.14</v>
      </c>
      <c r="I19" s="9">
        <f t="shared" si="5"/>
        <v>0.0990752972258917</v>
      </c>
    </row>
  </sheetData>
  <mergeCells count="2">
    <mergeCell ref="A3:A5"/>
    <mergeCell ref="A6:A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G15" sqref="G15"/>
    </sheetView>
  </sheetViews>
  <sheetFormatPr defaultColWidth="9" defaultRowHeight="14"/>
  <cols>
    <col min="1" max="5" width="9" style="1"/>
    <col min="6" max="7" width="14" style="1"/>
    <col min="8" max="8" width="11.5454545454545" style="1"/>
    <col min="9" max="11" width="14" style="1"/>
    <col min="12" max="16384" width="9" style="1"/>
  </cols>
  <sheetData>
    <row r="1" spans="2:11">
      <c r="B1" s="2"/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7" t="s">
        <v>19</v>
      </c>
    </row>
    <row r="2" spans="1:11">
      <c r="A2" s="3" t="s">
        <v>20</v>
      </c>
      <c r="B2" s="2">
        <v>1</v>
      </c>
      <c r="C2" s="4">
        <v>2.91</v>
      </c>
      <c r="D2" s="5">
        <v>0</v>
      </c>
      <c r="E2" s="2">
        <v>27</v>
      </c>
      <c r="F2" s="4">
        <f t="shared" ref="F2:F9" si="0">(C2-D2)*(2*D2+C2)/(3*(C2+D2))</f>
        <v>0.97</v>
      </c>
      <c r="G2" s="4">
        <f t="shared" ref="G2:G9" si="1">30-F2</f>
        <v>29.03</v>
      </c>
      <c r="H2" s="4">
        <f t="shared" ref="H2:H9" si="2">E2/1000*9.8*38.75</f>
        <v>10.25325</v>
      </c>
      <c r="I2" s="4">
        <f t="shared" ref="I2:I9" si="3">H2/G2</f>
        <v>0.353194970719945</v>
      </c>
      <c r="J2" s="4">
        <f t="shared" ref="J2:J9" si="4">(C2*C2-D2*D2)*0.0001*0.0948*1000*9.8*0.5</f>
        <v>0.3933601812</v>
      </c>
      <c r="K2" s="8">
        <f t="shared" ref="K2:K9" si="5">I2/J2</f>
        <v>0.89789202771484</v>
      </c>
    </row>
    <row r="3" spans="2:11">
      <c r="B3" s="2">
        <v>2</v>
      </c>
      <c r="C3" s="4">
        <v>5.98</v>
      </c>
      <c r="D3" s="5">
        <v>0</v>
      </c>
      <c r="E3" s="2">
        <v>118</v>
      </c>
      <c r="F3" s="4">
        <f t="shared" si="0"/>
        <v>1.99333333333333</v>
      </c>
      <c r="G3" s="4">
        <f t="shared" si="1"/>
        <v>28.0066666666667</v>
      </c>
      <c r="H3" s="4">
        <f t="shared" si="2"/>
        <v>44.8105</v>
      </c>
      <c r="I3" s="4">
        <f t="shared" si="3"/>
        <v>1.59999404903594</v>
      </c>
      <c r="J3" s="4">
        <f t="shared" si="4"/>
        <v>1.6611421008</v>
      </c>
      <c r="K3" s="8">
        <f t="shared" si="5"/>
        <v>0.963189150564176</v>
      </c>
    </row>
    <row r="4" spans="2:11">
      <c r="B4" s="2">
        <v>3</v>
      </c>
      <c r="C4" s="4">
        <v>8.96</v>
      </c>
      <c r="D4" s="5">
        <v>0</v>
      </c>
      <c r="E4" s="2">
        <v>257</v>
      </c>
      <c r="F4" s="4">
        <f t="shared" si="0"/>
        <v>2.98666666666667</v>
      </c>
      <c r="G4" s="4">
        <f t="shared" si="1"/>
        <v>27.0133333333333</v>
      </c>
      <c r="H4" s="4">
        <f t="shared" si="2"/>
        <v>97.59575</v>
      </c>
      <c r="I4" s="4">
        <f t="shared" si="3"/>
        <v>3.61287327245805</v>
      </c>
      <c r="J4" s="4">
        <f t="shared" si="4"/>
        <v>3.7292408832</v>
      </c>
      <c r="K4" s="8">
        <f t="shared" si="5"/>
        <v>0.968795898579203</v>
      </c>
    </row>
    <row r="5" spans="2:11">
      <c r="B5" s="2">
        <v>4</v>
      </c>
      <c r="C5" s="4">
        <v>12.87</v>
      </c>
      <c r="D5" s="5">
        <v>0</v>
      </c>
      <c r="E5" s="2">
        <v>505</v>
      </c>
      <c r="F5" s="4">
        <f t="shared" si="0"/>
        <v>4.29</v>
      </c>
      <c r="G5" s="4">
        <f t="shared" si="1"/>
        <v>25.71</v>
      </c>
      <c r="H5" s="4">
        <f t="shared" si="2"/>
        <v>191.77375</v>
      </c>
      <c r="I5" s="4">
        <f t="shared" si="3"/>
        <v>7.45911124076235</v>
      </c>
      <c r="J5" s="4">
        <f t="shared" si="4"/>
        <v>7.6941652788</v>
      </c>
      <c r="K5" s="8">
        <f t="shared" si="5"/>
        <v>0.969450352374766</v>
      </c>
    </row>
    <row r="6" spans="1:11">
      <c r="A6" s="3" t="s">
        <v>21</v>
      </c>
      <c r="B6" s="2">
        <v>1</v>
      </c>
      <c r="C6" s="4">
        <v>17.14</v>
      </c>
      <c r="D6" s="4">
        <v>2.14</v>
      </c>
      <c r="E6" s="2">
        <v>852</v>
      </c>
      <c r="F6" s="4">
        <f t="shared" si="0"/>
        <v>5.55497925311203</v>
      </c>
      <c r="G6" s="4">
        <f t="shared" si="1"/>
        <v>24.445020746888</v>
      </c>
      <c r="H6" s="4">
        <f t="shared" si="2"/>
        <v>323.547</v>
      </c>
      <c r="I6" s="4">
        <f t="shared" si="3"/>
        <v>13.2357015913431</v>
      </c>
      <c r="J6" s="4">
        <f t="shared" si="4"/>
        <v>13.4339184</v>
      </c>
      <c r="K6" s="8">
        <f t="shared" si="5"/>
        <v>0.985245048931002</v>
      </c>
    </row>
    <row r="7" spans="2:11">
      <c r="B7" s="2">
        <v>2</v>
      </c>
      <c r="C7" s="4">
        <v>20.2</v>
      </c>
      <c r="D7" s="4">
        <v>5.2</v>
      </c>
      <c r="E7" s="2">
        <v>1105</v>
      </c>
      <c r="F7" s="4">
        <f t="shared" si="0"/>
        <v>6.0236220472441</v>
      </c>
      <c r="G7" s="4">
        <f t="shared" si="1"/>
        <v>23.9763779527559</v>
      </c>
      <c r="H7" s="4">
        <f t="shared" si="2"/>
        <v>419.62375</v>
      </c>
      <c r="I7" s="4">
        <f t="shared" si="3"/>
        <v>17.5015488505747</v>
      </c>
      <c r="J7" s="4">
        <f t="shared" si="4"/>
        <v>17.698212</v>
      </c>
      <c r="K7" s="8">
        <f t="shared" si="5"/>
        <v>0.988887965099227</v>
      </c>
    </row>
    <row r="8" spans="2:11">
      <c r="B8" s="2">
        <v>3</v>
      </c>
      <c r="C8" s="4">
        <v>23.3</v>
      </c>
      <c r="D8" s="4">
        <v>8.3</v>
      </c>
      <c r="E8" s="2">
        <v>1356</v>
      </c>
      <c r="F8" s="4">
        <f t="shared" si="0"/>
        <v>6.31329113924051</v>
      </c>
      <c r="G8" s="4">
        <f t="shared" si="1"/>
        <v>23.6867088607595</v>
      </c>
      <c r="H8" s="4">
        <f t="shared" si="2"/>
        <v>514.941</v>
      </c>
      <c r="I8" s="4">
        <f t="shared" si="3"/>
        <v>21.7396601202405</v>
      </c>
      <c r="J8" s="4">
        <f t="shared" si="4"/>
        <v>22.018248</v>
      </c>
      <c r="K8" s="8">
        <f t="shared" si="5"/>
        <v>0.987347409305249</v>
      </c>
    </row>
    <row r="9" spans="2:11">
      <c r="B9" s="2">
        <v>4</v>
      </c>
      <c r="C9" s="4">
        <v>26.12</v>
      </c>
      <c r="D9" s="4">
        <v>11.1</v>
      </c>
      <c r="E9" s="2">
        <v>1587</v>
      </c>
      <c r="F9" s="4">
        <f t="shared" si="0"/>
        <v>6.49978864409816</v>
      </c>
      <c r="G9" s="4">
        <f t="shared" si="1"/>
        <v>23.5002113559018</v>
      </c>
      <c r="H9" s="4">
        <f t="shared" si="2"/>
        <v>602.66325</v>
      </c>
      <c r="I9" s="4">
        <f t="shared" si="3"/>
        <v>25.6450140329758</v>
      </c>
      <c r="J9" s="4">
        <f t="shared" si="4"/>
        <v>25.9687304688</v>
      </c>
      <c r="K9" s="8">
        <f t="shared" si="5"/>
        <v>0.987534375767305</v>
      </c>
    </row>
    <row r="10" spans="1:1">
      <c r="A10" s="6"/>
    </row>
  </sheetData>
  <mergeCells count="2">
    <mergeCell ref="A2:A5"/>
    <mergeCell ref="A6:A9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静水压强</vt:lpstr>
      <vt:lpstr>静水总压力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粮食和蔬菜</cp:lastModifiedBy>
  <dcterms:created xsi:type="dcterms:W3CDTF">2020-05-07T12:03:00Z</dcterms:created>
  <dcterms:modified xsi:type="dcterms:W3CDTF">2020-05-08T07:07:19Z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