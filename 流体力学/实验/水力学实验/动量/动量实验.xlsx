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0" windowHeight="768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<sst xmlns="http://schemas.openxmlformats.org/spreadsheetml/2006/main" count="52" uniqueCount="25">
  <si>
    <t>固定值2</t>
  </si>
  <si>
    <t>数值</t>
  </si>
  <si>
    <t>单位</t>
  </si>
  <si>
    <t>序号</t>
  </si>
  <si>
    <r>
      <rPr>
        <b/>
        <sz val="11"/>
        <color rgb="FF000000"/>
        <rFont val="宋体"/>
        <charset val="134"/>
        <scheme val="minor"/>
      </rPr>
      <t>R</t>
    </r>
    <r>
      <rPr>
        <b/>
        <vertAlign val="subscript"/>
        <sz val="11"/>
        <color rgb="FF000000"/>
        <rFont val="宋体"/>
        <charset val="134"/>
      </rPr>
      <t>1</t>
    </r>
    <r>
      <rPr>
        <b/>
        <sz val="11"/>
        <color rgb="FF000000"/>
        <rFont val="宋体"/>
        <charset val="134"/>
      </rPr>
      <t>法码/g</t>
    </r>
  </si>
  <si>
    <r>
      <rPr>
        <b/>
        <sz val="11"/>
        <color rgb="FF000000"/>
        <rFont val="宋体"/>
        <charset val="134"/>
        <scheme val="minor"/>
      </rPr>
      <t>R</t>
    </r>
    <r>
      <rPr>
        <b/>
        <vertAlign val="subscript"/>
        <sz val="11"/>
        <color rgb="FF000000"/>
        <rFont val="宋体"/>
        <charset val="134"/>
      </rPr>
      <t>2</t>
    </r>
    <r>
      <rPr>
        <b/>
        <sz val="11"/>
        <color rgb="FF000000"/>
        <rFont val="宋体"/>
        <charset val="134"/>
      </rPr>
      <t>微调/g</t>
    </r>
  </si>
  <si>
    <r>
      <rPr>
        <b/>
        <sz val="11"/>
        <color rgb="FF000000"/>
        <rFont val="宋体"/>
        <charset val="134"/>
        <scheme val="minor"/>
      </rPr>
      <t>h</t>
    </r>
    <r>
      <rPr>
        <b/>
        <vertAlign val="subscript"/>
        <sz val="11"/>
        <color rgb="FF000000"/>
        <rFont val="宋体"/>
        <charset val="134"/>
      </rPr>
      <t>1</t>
    </r>
    <r>
      <rPr>
        <b/>
        <sz val="11"/>
        <color rgb="FF000000"/>
        <rFont val="宋体"/>
        <charset val="134"/>
      </rPr>
      <t>水位/cm</t>
    </r>
  </si>
  <si>
    <r>
      <rPr>
        <b/>
        <sz val="11"/>
        <color rgb="FF000000"/>
        <rFont val="宋体"/>
        <charset val="134"/>
        <scheme val="minor"/>
      </rPr>
      <t>h</t>
    </r>
    <r>
      <rPr>
        <b/>
        <vertAlign val="subscript"/>
        <sz val="11"/>
        <color rgb="FF000000"/>
        <rFont val="宋体"/>
        <charset val="134"/>
      </rPr>
      <t>2</t>
    </r>
    <r>
      <rPr>
        <b/>
        <sz val="11"/>
        <color rgb="FF000000"/>
        <rFont val="宋体"/>
        <charset val="134"/>
      </rPr>
      <t>水位/cm</t>
    </r>
  </si>
  <si>
    <t>t/s</t>
  </si>
  <si>
    <t>Q/(m3/s)</t>
  </si>
  <si>
    <t>v/(m/s)</t>
  </si>
  <si>
    <t>R实验/N</t>
  </si>
  <si>
    <t>R计算/N</t>
  </si>
  <si>
    <t>误差/%</t>
  </si>
  <si>
    <t>孔口直径D</t>
  </si>
  <si>
    <t>cm</t>
  </si>
  <si>
    <t>水箱面积F</t>
  </si>
  <si>
    <r>
      <rPr>
        <sz val="11"/>
        <color rgb="FF000000"/>
        <rFont val="宋体"/>
        <charset val="134"/>
        <scheme val="minor"/>
      </rPr>
      <t>cm</t>
    </r>
    <r>
      <rPr>
        <vertAlign val="superscript"/>
        <sz val="11"/>
        <color rgb="FF000000"/>
        <rFont val="宋体"/>
        <charset val="134"/>
      </rPr>
      <t>2</t>
    </r>
  </si>
  <si>
    <t>角度 beta</t>
  </si>
  <si>
    <t>度</t>
  </si>
  <si>
    <t>距离Z</t>
  </si>
  <si>
    <t>初始法码R</t>
  </si>
  <si>
    <t>g</t>
  </si>
  <si>
    <t>增加值</t>
  </si>
  <si>
    <t>固定值4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</si>
</sst>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00_ "/>
    <numFmt numFmtId="177" formatCode="0.00000000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vertAlign val="subscript"/>
      <sz val="11"/>
      <color rgb="FF000000"/>
      <name val="宋体"/>
      <charset val="134"/>
    </font>
    <font>
      <b/>
      <sz val="11"/>
      <color rgb="FF000000"/>
      <name val="宋体"/>
      <charset val="134"/>
    </font>
    <font>
      <vertAlign val="superscript"/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4" fillId="20" borderId="6" applyNumberFormat="0" applyAlignment="0" applyProtection="0">
      <alignment vertical="center"/>
    </xf>
    <xf numFmtId="0" fontId="12" fillId="20" borderId="4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0" fontId="0" fillId="0" borderId="1" xfId="11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A1" sqref="A1:O8"/>
    </sheetView>
  </sheetViews>
  <sheetFormatPr defaultColWidth="9" defaultRowHeight="14" outlineLevelRow="7"/>
  <cols>
    <col min="1" max="1" width="10.6363636363636" style="12" customWidth="1"/>
    <col min="2" max="2" width="7.54545454545455" style="12" customWidth="1"/>
    <col min="3" max="3" width="5.72727272727273" style="12" customWidth="1"/>
    <col min="4" max="4" width="9" style="12"/>
    <col min="5" max="5" width="5.72727272727273" style="12" customWidth="1"/>
    <col min="6" max="7" width="9.36363636363636" style="12" customWidth="1"/>
    <col min="8" max="9" width="10.5454545454545" style="12" customWidth="1"/>
    <col min="10" max="10" width="5.54545454545455" style="12" customWidth="1"/>
    <col min="11" max="11" width="12.9090909090909" style="12" customWidth="1"/>
    <col min="12" max="14" width="8.54545454545454" style="12" customWidth="1"/>
    <col min="15" max="15" width="7.54545454545455" style="12" customWidth="1"/>
    <col min="16" max="16384" width="9" style="12"/>
  </cols>
  <sheetData>
    <row r="1" ht="16.5" spans="1:15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</row>
    <row r="2" spans="1:15">
      <c r="A2" s="3" t="s">
        <v>14</v>
      </c>
      <c r="B2" s="3">
        <v>0.8</v>
      </c>
      <c r="C2" s="3" t="s">
        <v>15</v>
      </c>
      <c r="D2" s="4"/>
      <c r="E2" s="4">
        <v>1</v>
      </c>
      <c r="F2" s="4">
        <v>60</v>
      </c>
      <c r="G2" s="5">
        <v>0.8</v>
      </c>
      <c r="H2" s="5">
        <v>2.9</v>
      </c>
      <c r="I2" s="5">
        <v>10.15</v>
      </c>
      <c r="J2" s="5">
        <v>8.97</v>
      </c>
      <c r="K2" s="9">
        <f>((I2-H2)*$B$3*0.000001)/J2</f>
        <v>0.000171882385730212</v>
      </c>
      <c r="L2" s="10">
        <f>SQRT(((40000*K2/(PI()*$B$2*$B$2))^2)-2*9.8*$B$5/100)</f>
        <v>3.3117550538556</v>
      </c>
      <c r="M2" s="10">
        <f>(F2+G2)*0.001*9.8</f>
        <v>0.59584</v>
      </c>
      <c r="N2" s="10">
        <f t="shared" ref="N2:N8" si="0">1000*K2*L2</f>
        <v>0.569232359610787</v>
      </c>
      <c r="O2" s="11">
        <f>ABS((N2-M2)/M2)</f>
        <v>0.044655680030231</v>
      </c>
    </row>
    <row r="3" ht="16" spans="1:15">
      <c r="A3" s="3" t="s">
        <v>16</v>
      </c>
      <c r="B3" s="3">
        <v>212.66</v>
      </c>
      <c r="C3" s="3" t="s">
        <v>17</v>
      </c>
      <c r="D3" s="4"/>
      <c r="E3" s="4">
        <v>2</v>
      </c>
      <c r="F3" s="4">
        <v>70</v>
      </c>
      <c r="G3" s="5">
        <v>1.7</v>
      </c>
      <c r="H3" s="5">
        <v>2.65</v>
      </c>
      <c r="I3" s="5">
        <v>9.82</v>
      </c>
      <c r="J3" s="5">
        <v>8.22</v>
      </c>
      <c r="K3" s="9">
        <f t="shared" ref="K3:K8" si="1">((I3-H3)*$B$3*0.000001)/J3</f>
        <v>0.000185495401459854</v>
      </c>
      <c r="L3" s="10">
        <f t="shared" ref="L3:L8" si="2">SQRT(((40000*K3/(PI()*$B$2*$B$2))^2)-2*9.8*$B$5/100)</f>
        <v>3.59071241283692</v>
      </c>
      <c r="M3" s="10">
        <f t="shared" ref="M3:M8" si="3">(F3+G3)*0.001*9.8</f>
        <v>0.70266</v>
      </c>
      <c r="N3" s="10">
        <f t="shared" si="0"/>
        <v>0.666060640546065</v>
      </c>
      <c r="O3" s="11">
        <f t="shared" ref="O3:O8" si="4">ABS((N3-M3)/M3)</f>
        <v>0.0520868691172614</v>
      </c>
    </row>
    <row r="4" spans="1:15">
      <c r="A4" s="3" t="s">
        <v>18</v>
      </c>
      <c r="B4" s="3">
        <v>90</v>
      </c>
      <c r="C4" s="3" t="s">
        <v>19</v>
      </c>
      <c r="D4" s="4"/>
      <c r="E4" s="4">
        <v>3</v>
      </c>
      <c r="F4" s="4">
        <v>80</v>
      </c>
      <c r="G4" s="5">
        <v>2.8</v>
      </c>
      <c r="H4" s="5">
        <v>3.3</v>
      </c>
      <c r="I4" s="5">
        <v>8.78</v>
      </c>
      <c r="J4" s="5">
        <v>5.62</v>
      </c>
      <c r="K4" s="9">
        <f t="shared" si="1"/>
        <v>0.000207362419928826</v>
      </c>
      <c r="L4" s="10">
        <f t="shared" si="2"/>
        <v>4.03649171046645</v>
      </c>
      <c r="M4" s="10">
        <f t="shared" si="3"/>
        <v>0.81144</v>
      </c>
      <c r="N4" s="10">
        <f t="shared" si="0"/>
        <v>0.837016689104968</v>
      </c>
      <c r="O4" s="11">
        <f t="shared" si="4"/>
        <v>0.031520123613536</v>
      </c>
    </row>
    <row r="5" spans="1:15">
      <c r="A5" s="3" t="s">
        <v>20</v>
      </c>
      <c r="B5" s="3">
        <v>3.7</v>
      </c>
      <c r="C5" s="3" t="s">
        <v>15</v>
      </c>
      <c r="D5" s="4"/>
      <c r="E5" s="4">
        <v>4</v>
      </c>
      <c r="F5" s="4">
        <v>90</v>
      </c>
      <c r="G5" s="5">
        <v>3.9</v>
      </c>
      <c r="H5" s="5">
        <v>3.25</v>
      </c>
      <c r="I5" s="5">
        <v>9.1</v>
      </c>
      <c r="J5" s="5">
        <v>5.81</v>
      </c>
      <c r="K5" s="9">
        <f t="shared" si="1"/>
        <v>0.000214124096385542</v>
      </c>
      <c r="L5" s="10">
        <f t="shared" si="2"/>
        <v>4.17387558964433</v>
      </c>
      <c r="M5" s="10">
        <f t="shared" si="3"/>
        <v>0.92022</v>
      </c>
      <c r="N5" s="10">
        <f t="shared" si="0"/>
        <v>0.893727339058265</v>
      </c>
      <c r="O5" s="11">
        <f t="shared" si="4"/>
        <v>0.0287894861465037</v>
      </c>
    </row>
    <row r="6" spans="1:15">
      <c r="A6" s="3" t="s">
        <v>21</v>
      </c>
      <c r="B6" s="3">
        <v>60</v>
      </c>
      <c r="C6" s="3" t="s">
        <v>22</v>
      </c>
      <c r="D6" s="4"/>
      <c r="E6" s="4">
        <v>5</v>
      </c>
      <c r="F6" s="4">
        <v>100</v>
      </c>
      <c r="G6" s="5">
        <v>3.9</v>
      </c>
      <c r="H6" s="5">
        <v>2.4</v>
      </c>
      <c r="I6" s="5">
        <v>9.7</v>
      </c>
      <c r="J6" s="5">
        <v>6.81</v>
      </c>
      <c r="K6" s="9">
        <f t="shared" si="1"/>
        <v>0.000227961527165932</v>
      </c>
      <c r="L6" s="10">
        <f t="shared" si="2"/>
        <v>4.4544797592159</v>
      </c>
      <c r="M6" s="10">
        <f t="shared" si="3"/>
        <v>1.01822</v>
      </c>
      <c r="N6" s="10">
        <f t="shared" si="0"/>
        <v>1.01545000864059</v>
      </c>
      <c r="O6" s="11">
        <f t="shared" si="4"/>
        <v>0.00272042521204556</v>
      </c>
    </row>
    <row r="7" spans="1:15">
      <c r="A7" s="3" t="s">
        <v>23</v>
      </c>
      <c r="B7" s="3">
        <v>10</v>
      </c>
      <c r="C7" s="3" t="s">
        <v>22</v>
      </c>
      <c r="D7" s="4"/>
      <c r="E7" s="4">
        <v>6</v>
      </c>
      <c r="F7" s="4">
        <v>110</v>
      </c>
      <c r="G7" s="5">
        <v>5.8</v>
      </c>
      <c r="H7" s="5">
        <v>2.8</v>
      </c>
      <c r="I7" s="5">
        <v>10.62</v>
      </c>
      <c r="J7" s="5">
        <v>7.06</v>
      </c>
      <c r="K7" s="9">
        <f t="shared" si="1"/>
        <v>0.000235552577903683</v>
      </c>
      <c r="L7" s="10">
        <f t="shared" si="2"/>
        <v>4.60814343398997</v>
      </c>
      <c r="M7" s="10">
        <f t="shared" si="3"/>
        <v>1.13484</v>
      </c>
      <c r="N7" s="10">
        <f t="shared" si="0"/>
        <v>1.08546006522627</v>
      </c>
      <c r="O7" s="11">
        <f t="shared" si="4"/>
        <v>0.0435126844081402</v>
      </c>
    </row>
    <row r="8" spans="1:15">
      <c r="A8" s="3"/>
      <c r="B8" s="3"/>
      <c r="C8" s="3"/>
      <c r="D8" s="4"/>
      <c r="E8" s="4">
        <v>7</v>
      </c>
      <c r="F8" s="4">
        <v>120</v>
      </c>
      <c r="G8" s="5">
        <v>0.9</v>
      </c>
      <c r="H8" s="5">
        <v>2.95</v>
      </c>
      <c r="I8" s="5">
        <v>9.84</v>
      </c>
      <c r="J8" s="5">
        <v>5.88</v>
      </c>
      <c r="K8" s="9">
        <f t="shared" si="1"/>
        <v>0.000249188333333333</v>
      </c>
      <c r="L8" s="10">
        <f t="shared" si="2"/>
        <v>4.88375416504993</v>
      </c>
      <c r="M8" s="10">
        <f t="shared" si="3"/>
        <v>1.18482</v>
      </c>
      <c r="N8" s="10">
        <f t="shared" si="0"/>
        <v>1.21697456079852</v>
      </c>
      <c r="O8" s="11">
        <f t="shared" si="4"/>
        <v>0.0271387728081204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workbookViewId="0">
      <selection activeCell="I15" sqref="I15"/>
    </sheetView>
  </sheetViews>
  <sheetFormatPr defaultColWidth="9" defaultRowHeight="14"/>
  <cols>
    <col min="1" max="10" width="9" style="1"/>
    <col min="11" max="11" width="12.9090909090909" style="1"/>
    <col min="12" max="16384" width="9" style="1"/>
  </cols>
  <sheetData>
    <row r="1" ht="16.5" spans="1:15">
      <c r="A1" s="2" t="s">
        <v>24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</row>
    <row r="2" spans="1:15">
      <c r="A2" s="3" t="s">
        <v>14</v>
      </c>
      <c r="B2" s="3">
        <v>0.8</v>
      </c>
      <c r="C2" s="3" t="s">
        <v>15</v>
      </c>
      <c r="D2" s="4"/>
      <c r="E2" s="4">
        <v>1</v>
      </c>
      <c r="F2" s="4">
        <v>100</v>
      </c>
      <c r="G2" s="5">
        <v>1.3</v>
      </c>
      <c r="H2" s="5">
        <v>4</v>
      </c>
      <c r="I2" s="5">
        <v>8.08</v>
      </c>
      <c r="J2" s="5">
        <v>5.07</v>
      </c>
      <c r="K2" s="9">
        <f>((I2-H2)*$B$3*0.000001)/J2</f>
        <v>0.000171134674556213</v>
      </c>
      <c r="L2" s="10">
        <f>SQRT(((40000*K2/(PI()*$B$2*$B$2))^2)-2*9.8*$B$5/100)</f>
        <v>3.29787981748845</v>
      </c>
      <c r="M2" s="10">
        <f>(F2+G2)*0.001*9.8</f>
        <v>0.99274</v>
      </c>
      <c r="N2" s="10">
        <f>1000*K2*L2*1.7071</f>
        <v>0.963455811079329</v>
      </c>
      <c r="O2" s="11">
        <f t="shared" ref="O2:O9" si="0">ABS((N2-M2)/M2)</f>
        <v>0.0294983469193049</v>
      </c>
    </row>
    <row r="3" ht="16" spans="1:15">
      <c r="A3" s="3" t="s">
        <v>16</v>
      </c>
      <c r="B3" s="3">
        <v>212.66</v>
      </c>
      <c r="C3" s="3" t="s">
        <v>17</v>
      </c>
      <c r="D3" s="4"/>
      <c r="E3" s="4">
        <v>2</v>
      </c>
      <c r="F3" s="4">
        <v>110</v>
      </c>
      <c r="G3" s="5">
        <v>2.6</v>
      </c>
      <c r="H3" s="5">
        <v>4.1</v>
      </c>
      <c r="I3" s="5">
        <v>8.45</v>
      </c>
      <c r="J3" s="5">
        <v>5.19</v>
      </c>
      <c r="K3" s="9">
        <f>((I3-H3)*$B$3*0.000001)/J3</f>
        <v>0.000178241040462428</v>
      </c>
      <c r="L3" s="10">
        <f>SQRT(((40000*K3/(PI()*$B$2*$B$2))^2)-2*9.8*$B$5/100)</f>
        <v>3.44364126478806</v>
      </c>
      <c r="M3" s="10">
        <f t="shared" ref="M2:M9" si="1">(F3+G3)*0.001*9.8</f>
        <v>1.10348</v>
      </c>
      <c r="N3" s="10">
        <f t="shared" ref="N3:N9" si="2">1000*K3*L3*1.7071</f>
        <v>1.0478149106601</v>
      </c>
      <c r="O3" s="11">
        <f t="shared" si="0"/>
        <v>0.0504450369194729</v>
      </c>
    </row>
    <row r="4" spans="1:15">
      <c r="A4" s="3" t="s">
        <v>18</v>
      </c>
      <c r="B4" s="3">
        <v>135</v>
      </c>
      <c r="C4" s="3" t="s">
        <v>19</v>
      </c>
      <c r="D4" s="4"/>
      <c r="E4" s="4">
        <v>3</v>
      </c>
      <c r="F4" s="4">
        <v>120</v>
      </c>
      <c r="G4" s="5">
        <v>0.8</v>
      </c>
      <c r="H4" s="5">
        <v>4.33</v>
      </c>
      <c r="I4" s="5">
        <v>8.87</v>
      </c>
      <c r="J4" s="5">
        <v>5.16</v>
      </c>
      <c r="K4" s="9">
        <f>((I4-H4)*$B$3*0.000001)/J4</f>
        <v>0.000187107829457364</v>
      </c>
      <c r="L4" s="10">
        <f>SQRT(((40000*K4/(PI()*$B$2*$B$2))^2)-2*9.8*$B$5/100)</f>
        <v>3.62502443502318</v>
      </c>
      <c r="M4" s="10">
        <f t="shared" si="1"/>
        <v>1.18384</v>
      </c>
      <c r="N4" s="10">
        <f t="shared" si="2"/>
        <v>1.15787549162581</v>
      </c>
      <c r="O4" s="11">
        <f t="shared" si="0"/>
        <v>0.0219324472683724</v>
      </c>
    </row>
    <row r="5" spans="1:15">
      <c r="A5" s="3" t="s">
        <v>20</v>
      </c>
      <c r="B5" s="3">
        <v>3.65</v>
      </c>
      <c r="C5" s="3" t="s">
        <v>15</v>
      </c>
      <c r="D5" s="4"/>
      <c r="E5" s="4">
        <v>4</v>
      </c>
      <c r="F5" s="4">
        <v>130</v>
      </c>
      <c r="G5" s="5">
        <v>1.6</v>
      </c>
      <c r="H5" s="5">
        <v>4.1</v>
      </c>
      <c r="I5" s="5">
        <v>8.76</v>
      </c>
      <c r="J5" s="5">
        <v>5.06</v>
      </c>
      <c r="K5" s="9">
        <f>((I5-H5)*$B$3*0.000001)/J5</f>
        <v>0.000195848932806324</v>
      </c>
      <c r="L5" s="10">
        <f>SQRT(((40000*K5/(PI()*$B$2*$B$2))^2)-2*9.8*$B$5/100)</f>
        <v>3.80337762656778</v>
      </c>
      <c r="M5" s="10">
        <f t="shared" si="1"/>
        <v>1.28968</v>
      </c>
      <c r="N5" s="10">
        <f t="shared" si="2"/>
        <v>1.27159736456816</v>
      </c>
      <c r="O5" s="11">
        <f t="shared" si="0"/>
        <v>0.0140210249300912</v>
      </c>
    </row>
    <row r="6" spans="1:15">
      <c r="A6" s="3" t="s">
        <v>21</v>
      </c>
      <c r="B6" s="3">
        <v>100</v>
      </c>
      <c r="C6" s="3" t="s">
        <v>22</v>
      </c>
      <c r="D6" s="4"/>
      <c r="E6" s="4">
        <v>5</v>
      </c>
      <c r="F6" s="4">
        <v>140</v>
      </c>
      <c r="G6" s="5">
        <v>4.2</v>
      </c>
      <c r="H6" s="5">
        <v>4.17</v>
      </c>
      <c r="I6" s="5">
        <v>8.9</v>
      </c>
      <c r="J6" s="5">
        <v>5.03</v>
      </c>
      <c r="K6" s="9">
        <f>((I6-H6)*$B$3*0.000001)/J6</f>
        <v>0.000199976500994036</v>
      </c>
      <c r="L6" s="10">
        <f>SQRT(((40000*K6/(PI()*$B$2*$B$2))^2)-2*9.8*$B$5/100)</f>
        <v>3.88745610043738</v>
      </c>
      <c r="M6" s="10">
        <f t="shared" si="1"/>
        <v>1.41316</v>
      </c>
      <c r="N6" s="10">
        <f t="shared" si="2"/>
        <v>1.32709931591476</v>
      </c>
      <c r="O6" s="11">
        <f t="shared" si="0"/>
        <v>0.0608994622585129</v>
      </c>
    </row>
    <row r="7" spans="1:15">
      <c r="A7" s="3" t="s">
        <v>23</v>
      </c>
      <c r="B7" s="3">
        <v>10</v>
      </c>
      <c r="C7" s="3" t="s">
        <v>22</v>
      </c>
      <c r="D7" s="4"/>
      <c r="E7" s="4">
        <v>6</v>
      </c>
      <c r="F7" s="4">
        <v>150</v>
      </c>
      <c r="G7" s="5">
        <v>5.3</v>
      </c>
      <c r="H7" s="5">
        <v>3.85</v>
      </c>
      <c r="I7" s="5">
        <v>8.8</v>
      </c>
      <c r="J7" s="5">
        <v>5</v>
      </c>
      <c r="K7" s="9">
        <f>((I7-H7)*$B$3*0.000001)/J7</f>
        <v>0.0002105334</v>
      </c>
      <c r="L7" s="10">
        <f>SQRT(((40000*K7/(PI()*$B$2*$B$2))^2)-2*9.8*$B$5/100)</f>
        <v>4.1021380706673</v>
      </c>
      <c r="M7" s="10">
        <f t="shared" si="1"/>
        <v>1.52194</v>
      </c>
      <c r="N7" s="10">
        <f t="shared" si="2"/>
        <v>1.47431485122249</v>
      </c>
      <c r="O7" s="11">
        <f t="shared" si="0"/>
        <v>0.0312923957432685</v>
      </c>
    </row>
    <row r="8" spans="1:15">
      <c r="A8" s="3"/>
      <c r="B8" s="3"/>
      <c r="C8" s="3"/>
      <c r="D8" s="4"/>
      <c r="E8" s="4">
        <v>7</v>
      </c>
      <c r="F8" s="4">
        <v>160</v>
      </c>
      <c r="G8" s="5">
        <v>4.9</v>
      </c>
      <c r="H8" s="5">
        <v>4.1</v>
      </c>
      <c r="I8" s="5">
        <v>9.27</v>
      </c>
      <c r="J8" s="5">
        <v>5.06</v>
      </c>
      <c r="K8" s="9">
        <f>((I8-H8)*$B$3*0.000001)/J8</f>
        <v>0.000217283043478261</v>
      </c>
      <c r="L8" s="10">
        <f>SQRT(((40000*K8/(PI()*$B$2*$B$2))^2)-2*9.8*$B$5/100)</f>
        <v>4.2391522018909</v>
      </c>
      <c r="M8" s="10">
        <f t="shared" si="1"/>
        <v>1.61602</v>
      </c>
      <c r="N8" s="10">
        <f t="shared" si="2"/>
        <v>1.5724027975651</v>
      </c>
      <c r="O8" s="11">
        <f t="shared" si="0"/>
        <v>0.0269905090499499</v>
      </c>
    </row>
    <row r="9" spans="1:15">
      <c r="A9" s="6"/>
      <c r="B9" s="6"/>
      <c r="C9" s="6"/>
      <c r="D9" s="6"/>
      <c r="E9" s="4">
        <v>8</v>
      </c>
      <c r="F9" s="4">
        <v>170</v>
      </c>
      <c r="G9" s="5">
        <v>4.6</v>
      </c>
      <c r="H9" s="5">
        <v>4.3</v>
      </c>
      <c r="I9" s="5">
        <v>9.48</v>
      </c>
      <c r="J9" s="5">
        <v>4.97</v>
      </c>
      <c r="K9" s="9">
        <f>((I9-H9)*$B$3*0.000001)/J9</f>
        <v>0.000221645633802817</v>
      </c>
      <c r="L9" s="10">
        <f>SQRT(((40000*K9/(PI()*$B$2*$B$2))^2)-2*9.8*$B$5/100)</f>
        <v>4.32761924199747</v>
      </c>
      <c r="M9" s="10">
        <f t="shared" si="1"/>
        <v>1.71108</v>
      </c>
      <c r="N9" s="10">
        <f t="shared" si="2"/>
        <v>1.63744675173387</v>
      </c>
      <c r="O9" s="11">
        <f t="shared" si="0"/>
        <v>0.0430332002396907</v>
      </c>
    </row>
    <row r="10" spans="1: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粮食和蔬菜</cp:lastModifiedBy>
  <dcterms:created xsi:type="dcterms:W3CDTF">2020-05-14T10:23:00Z</dcterms:created>
  <dcterms:modified xsi:type="dcterms:W3CDTF">2020-05-15T04:05:46Z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