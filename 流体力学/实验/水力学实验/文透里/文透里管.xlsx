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<sst xmlns="http://schemas.openxmlformats.org/spreadsheetml/2006/main" count="12" uniqueCount="12">
  <si>
    <t>序号</t>
  </si>
  <si>
    <r>
      <rPr>
        <sz val="11"/>
        <color theme="1"/>
        <rFont val="宋体"/>
        <charset val="134"/>
      </rPr>
      <t>液面高</t>
    </r>
    <r>
      <rPr>
        <sz val="11"/>
        <color theme="1"/>
        <rFont val="Times New Roman"/>
        <charset val="134"/>
      </rPr>
      <t>h1(cm)</t>
    </r>
  </si>
  <si>
    <r>
      <rPr>
        <sz val="11"/>
        <color theme="1"/>
        <rFont val="宋体"/>
        <charset val="134"/>
      </rPr>
      <t>液面高</t>
    </r>
    <r>
      <rPr>
        <sz val="11"/>
        <color theme="1"/>
        <rFont val="Times New Roman"/>
        <charset val="134"/>
      </rPr>
      <t>h2(cm)</t>
    </r>
  </si>
  <si>
    <r>
      <rPr>
        <sz val="11"/>
        <color theme="1"/>
        <rFont val="宋体"/>
        <charset val="134"/>
      </rPr>
      <t>初始水位</t>
    </r>
    <r>
      <rPr>
        <sz val="11"/>
        <color theme="1"/>
        <rFont val="Times New Roman"/>
        <charset val="134"/>
      </rPr>
      <t>(cm)</t>
    </r>
  </si>
  <si>
    <r>
      <rPr>
        <sz val="11"/>
        <color theme="1"/>
        <rFont val="宋体"/>
        <charset val="134"/>
      </rPr>
      <t>最终水位</t>
    </r>
    <r>
      <rPr>
        <sz val="11"/>
        <color theme="1"/>
        <rFont val="Times New Roman"/>
        <charset val="134"/>
      </rPr>
      <t>(cm)</t>
    </r>
  </si>
  <si>
    <r>
      <rPr>
        <sz val="11"/>
        <color theme="1"/>
        <rFont val="宋体"/>
        <charset val="134"/>
      </rPr>
      <t>量水时间</t>
    </r>
    <r>
      <rPr>
        <sz val="11"/>
        <color theme="1"/>
        <rFont val="Times New Roman"/>
        <charset val="134"/>
      </rPr>
      <t>(s)</t>
    </r>
  </si>
  <si>
    <r>
      <rPr>
        <sz val="11"/>
        <color theme="1"/>
        <rFont val="Times New Roman"/>
        <charset val="134"/>
      </rPr>
      <t>Q</t>
    </r>
    <r>
      <rPr>
        <sz val="11"/>
        <color theme="1"/>
        <rFont val="宋体"/>
        <charset val="134"/>
      </rPr>
      <t>实</t>
    </r>
    <r>
      <rPr>
        <sz val="11"/>
        <color theme="1"/>
        <rFont val="Times New Roman"/>
        <charset val="134"/>
      </rPr>
      <t>(cm3/s)</t>
    </r>
  </si>
  <si>
    <r>
      <rPr>
        <sz val="11"/>
        <color theme="1"/>
        <rFont val="宋体"/>
        <charset val="134"/>
      </rPr>
      <t>△</t>
    </r>
    <r>
      <rPr>
        <sz val="11"/>
        <color theme="1"/>
        <rFont val="Times New Roman"/>
        <charset val="134"/>
      </rPr>
      <t>h(cm)</t>
    </r>
  </si>
  <si>
    <r>
      <rPr>
        <sz val="11"/>
        <color theme="1"/>
        <rFont val="Times New Roman"/>
        <charset val="134"/>
      </rPr>
      <t>Q</t>
    </r>
    <r>
      <rPr>
        <sz val="11"/>
        <color theme="1"/>
        <rFont val="宋体"/>
        <charset val="134"/>
      </rPr>
      <t>理文</t>
    </r>
    <r>
      <rPr>
        <sz val="11"/>
        <color theme="1"/>
        <rFont val="Times New Roman"/>
        <charset val="134"/>
      </rPr>
      <t>(cm3/s)</t>
    </r>
  </si>
  <si>
    <t>μ</t>
  </si>
  <si>
    <t> 127.87</t>
  </si>
  <si>
    <r>
      <rPr>
        <sz val="11"/>
        <color theme="1"/>
        <rFont val="Times New Roman"/>
        <charset val="134"/>
      </rPr>
      <t>K</t>
    </r>
    <r>
      <rPr>
        <sz val="11"/>
        <color theme="1"/>
        <rFont val="宋体"/>
        <charset val="134"/>
      </rPr>
      <t>文</t>
    </r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</si>
</sst>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theme="1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20" fillId="12" borderId="3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182852143482"/>
          <c:y val="0.157882035578886"/>
          <c:w val="0.749851924759405"/>
          <c:h val="0.693490268733709"/>
        </c:manualLayout>
      </c:layout>
      <c:scatterChart>
        <c:scatterStyle val="smoothMarker"/>
        <c:varyColors val="0"/>
        <c:ser>
          <c:idx val="0"/>
          <c:order val="0"/>
          <c:marker>
            <c:symbol val="circle"/>
            <c:size val="7"/>
          </c:marker>
          <c:dLbls>
            <c:delete val="1"/>
          </c:dLbls>
          <c:xVal>
            <c:numRef>
              <c:f>[1]Sheet1!$H$2:$H$11</c:f>
              <c:numCache>
                <c:formatCode>General</c:formatCode>
                <c:ptCount val="10"/>
                <c:pt idx="0">
                  <c:v>58.99</c:v>
                </c:pt>
                <c:pt idx="1">
                  <c:v>53.43</c:v>
                </c:pt>
                <c:pt idx="2">
                  <c:v>40.31</c:v>
                </c:pt>
                <c:pt idx="3">
                  <c:v>33.12</c:v>
                </c:pt>
                <c:pt idx="4">
                  <c:v>25.07</c:v>
                </c:pt>
                <c:pt idx="5">
                  <c:v>20.86</c:v>
                </c:pt>
                <c:pt idx="6">
                  <c:v>16.12</c:v>
                </c:pt>
                <c:pt idx="7">
                  <c:v>11.47</c:v>
                </c:pt>
                <c:pt idx="8">
                  <c:v>2.11</c:v>
                </c:pt>
                <c:pt idx="9">
                  <c:v>0.640000000000001</c:v>
                </c:pt>
              </c:numCache>
            </c:numRef>
          </c:xVal>
          <c:yVal>
            <c:numRef>
              <c:f>[1]Sheet1!$G$2:$G$11</c:f>
              <c:numCache>
                <c:formatCode>General</c:formatCode>
                <c:ptCount val="10"/>
                <c:pt idx="0">
                  <c:v>262.702702702703</c:v>
                </c:pt>
                <c:pt idx="1">
                  <c:v>250.727915194346</c:v>
                </c:pt>
                <c:pt idx="2">
                  <c:v>211.178571428571</c:v>
                </c:pt>
                <c:pt idx="3">
                  <c:v>188.962861072902</c:v>
                </c:pt>
                <c:pt idx="4">
                  <c:v>163.833962264151</c:v>
                </c:pt>
                <c:pt idx="5">
                  <c:v>153.074186550976</c:v>
                </c:pt>
                <c:pt idx="6">
                  <c:v>129.842016806723</c:v>
                </c:pt>
                <c:pt idx="7">
                  <c:v>105.772197309417</c:v>
                </c:pt>
                <c:pt idx="8">
                  <c:v>42.4792934249264</c:v>
                </c:pt>
                <c:pt idx="9">
                  <c:v>21.9326451176172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91168"/>
        <c:axId val="118364800"/>
      </c:scatterChart>
      <c:valAx>
        <c:axId val="1183911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△</a:t>
                </a:r>
                <a:r>
                  <a:rPr lang="en-US" altLang="zh-CN" sz="1100"/>
                  <a:t>h/cm</a:t>
                </a:r>
                <a:endParaRPr lang="zh-CN" altLang="en-US" sz="11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8364800"/>
        <c:crosses val="autoZero"/>
        <c:crossBetween val="midCat"/>
      </c:valAx>
      <c:valAx>
        <c:axId val="1183648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Q</a:t>
                </a:r>
                <a:r>
                  <a:rPr lang="zh-CN" altLang="en-US"/>
                  <a:t>实</a:t>
                </a:r>
                <a:r>
                  <a:rPr lang="en-US" altLang="zh-CN"/>
                  <a:t>/(cm³/s)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305555555555556"/>
              <c:y val="0.33717774861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839116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externalData r:id="rId1">
    <c:autoUpdate val="0"/>
  </c:externalData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71741032371"/>
          <c:y val="0.162511665208516"/>
          <c:w val="0.747074146981627"/>
          <c:h val="0.689101049868766"/>
        </c:manualLayout>
      </c:layout>
      <c:scatterChart>
        <c:scatterStyle val="smoothMarker"/>
        <c:varyColors val="0"/>
        <c:ser>
          <c:idx val="0"/>
          <c:order val="0"/>
          <c:marker>
            <c:symbol val="circle"/>
            <c:size val="7"/>
          </c:marker>
          <c:dLbls>
            <c:delete val="1"/>
          </c:dLbls>
          <c:xVal>
            <c:numRef>
              <c:f>[1]Sheet1!$H$2:$H$11</c:f>
              <c:numCache>
                <c:formatCode>General</c:formatCode>
                <c:ptCount val="10"/>
                <c:pt idx="0">
                  <c:v>58.99</c:v>
                </c:pt>
                <c:pt idx="1">
                  <c:v>53.43</c:v>
                </c:pt>
                <c:pt idx="2">
                  <c:v>40.31</c:v>
                </c:pt>
                <c:pt idx="3">
                  <c:v>33.12</c:v>
                </c:pt>
                <c:pt idx="4">
                  <c:v>25.07</c:v>
                </c:pt>
                <c:pt idx="5">
                  <c:v>20.86</c:v>
                </c:pt>
                <c:pt idx="6">
                  <c:v>16.12</c:v>
                </c:pt>
                <c:pt idx="7">
                  <c:v>11.47</c:v>
                </c:pt>
                <c:pt idx="8">
                  <c:v>2.11</c:v>
                </c:pt>
                <c:pt idx="9">
                  <c:v>0.640000000000001</c:v>
                </c:pt>
              </c:numCache>
            </c:numRef>
          </c:xVal>
          <c:yVal>
            <c:numRef>
              <c:f>[1]Sheet1!$I$2:$I$11</c:f>
              <c:numCache>
                <c:formatCode>General</c:formatCode>
                <c:ptCount val="10"/>
                <c:pt idx="0">
                  <c:v>270.11185698046</c:v>
                </c:pt>
                <c:pt idx="1">
                  <c:v>257.067419273603</c:v>
                </c:pt>
                <c:pt idx="2">
                  <c:v>223.285668849239</c:v>
                </c:pt>
                <c:pt idx="3">
                  <c:v>202.394923194954</c:v>
                </c:pt>
                <c:pt idx="4">
                  <c:v>176.088752833561</c:v>
                </c:pt>
                <c:pt idx="5">
                  <c:v>160.62443113924</c:v>
                </c:pt>
                <c:pt idx="6">
                  <c:v>141.200738872081</c:v>
                </c:pt>
                <c:pt idx="7">
                  <c:v>119.10669104976</c:v>
                </c:pt>
                <c:pt idx="8">
                  <c:v>51.0852682486479</c:v>
                </c:pt>
                <c:pt idx="9">
                  <c:v>28.1348392120817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65984"/>
        <c:axId val="158761728"/>
      </c:scatterChart>
      <c:valAx>
        <c:axId val="1590659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△</a:t>
                </a:r>
                <a:r>
                  <a:rPr lang="en-US" altLang="zh-CN" sz="1100"/>
                  <a:t>h/cm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451247594050744"/>
              <c:y val="0.92592592592592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8761728"/>
        <c:crosses val="autoZero"/>
        <c:crossBetween val="midCat"/>
      </c:valAx>
      <c:valAx>
        <c:axId val="15876172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Q</a:t>
                </a:r>
                <a:r>
                  <a:rPr lang="zh-CN" altLang="en-US"/>
                  <a:t>理</a:t>
                </a:r>
                <a:r>
                  <a:rPr lang="en-US" altLang="zh-CN"/>
                  <a:t>/(cm³/s)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0166666666666667"/>
              <c:y val="0.35613626421697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906598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externalData r:id="rId1">
    <c:autoUpdate val="0"/>
  </c:externalData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89691016346"/>
          <c:y val="0.157176544791021"/>
          <c:w val="0.795615704286964"/>
          <c:h val="0.703288459910253"/>
        </c:manualLayout>
      </c:layout>
      <c:scatterChart>
        <c:scatterStyle val="smoothMarker"/>
        <c:varyColors val="0"/>
        <c:ser>
          <c:idx val="0"/>
          <c:order val="0"/>
          <c:marker>
            <c:symbol val="circle"/>
            <c:size val="7"/>
          </c:marker>
          <c:dLbls>
            <c:delete val="1"/>
          </c:dLbls>
          <c:xVal>
            <c:numRef>
              <c:f>[1]Sheet1!$H$2:$H$11</c:f>
              <c:numCache>
                <c:formatCode>General</c:formatCode>
                <c:ptCount val="10"/>
                <c:pt idx="0">
                  <c:v>58.99</c:v>
                </c:pt>
                <c:pt idx="1">
                  <c:v>53.43</c:v>
                </c:pt>
                <c:pt idx="2">
                  <c:v>40.31</c:v>
                </c:pt>
                <c:pt idx="3">
                  <c:v>33.12</c:v>
                </c:pt>
                <c:pt idx="4">
                  <c:v>25.07</c:v>
                </c:pt>
                <c:pt idx="5">
                  <c:v>20.86</c:v>
                </c:pt>
                <c:pt idx="6">
                  <c:v>16.12</c:v>
                </c:pt>
                <c:pt idx="7">
                  <c:v>11.47</c:v>
                </c:pt>
                <c:pt idx="8">
                  <c:v>2.11</c:v>
                </c:pt>
                <c:pt idx="9">
                  <c:v>0.640000000000001</c:v>
                </c:pt>
              </c:numCache>
            </c:numRef>
          </c:xVal>
          <c:yVal>
            <c:numRef>
              <c:f>[1]Sheet1!$J$2:$J$11</c:f>
              <c:numCache>
                <c:formatCode>General</c:formatCode>
                <c:ptCount val="10"/>
                <c:pt idx="0">
                  <c:v>0.972570051679394</c:v>
                </c:pt>
                <c:pt idx="1">
                  <c:v>0.975339138280648</c:v>
                </c:pt>
                <c:pt idx="2">
                  <c:v>0.94577754370415</c:v>
                </c:pt>
                <c:pt idx="3">
                  <c:v>0.93363439205877</c:v>
                </c:pt>
                <c:pt idx="4">
                  <c:v>0.930405603014333</c:v>
                </c:pt>
                <c:pt idx="5">
                  <c:v>0.952994419748519</c:v>
                </c:pt>
                <c:pt idx="6">
                  <c:v>0.919556213684914</c:v>
                </c:pt>
                <c:pt idx="7">
                  <c:v>0.888045804792174</c:v>
                </c:pt>
                <c:pt idx="8">
                  <c:v>0.831537053268791</c:v>
                </c:pt>
                <c:pt idx="9">
                  <c:v>0.779554663607207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796032"/>
        <c:axId val="264534656"/>
      </c:scatterChart>
      <c:valAx>
        <c:axId val="264796032"/>
        <c:scaling>
          <c:orientation val="minMax"/>
          <c:max val="7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△</a:t>
                </a:r>
                <a:r>
                  <a:rPr lang="en-US" altLang="zh-CN" sz="1100"/>
                  <a:t>h/cm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467461703384705"/>
              <c:y val="0.92297592997811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4534656"/>
        <c:crosses val="autoZero"/>
        <c:crossBetween val="midCat"/>
      </c:valAx>
      <c:valAx>
        <c:axId val="264534656"/>
        <c:scaling>
          <c:orientation val="minMax"/>
          <c:max val="1"/>
          <c:min val="0.7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50"/>
                  <a:t>流量系数 </a:t>
                </a:r>
                <a:r>
                  <a:rPr lang="en-US" altLang="zh-CN" sz="1200"/>
                  <a:t>μ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00792079207920792"/>
              <c:y val="0.3559993226653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479603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externalData r:id="rId1">
    <c:autoUpdate val="0"/>
  </c:externalData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279400</xdr:colOff>
      <xdr:row>13</xdr:row>
      <xdr:rowOff>120015</xdr:rowOff>
    </xdr:from>
    <xdr:to>
      <xdr:col>8</xdr:col>
      <xdr:colOff>815975</xdr:colOff>
      <xdr:row>28</xdr:row>
      <xdr:rowOff>154940</xdr:rowOff>
    </xdr:to>
    <xdr:graphicFrame>
      <xdr:nvGraphicFramePr>
        <xdr:cNvPr id="2" name="图表 1"/>
        <xdr:cNvGraphicFramePr/>
      </xdr:nvGraphicFramePr>
      <xdr:xfrm>
        <a:off x="1581150" y="2431415"/>
        <a:ext cx="5381625" cy="2701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82550</xdr:colOff>
      <xdr:row>12</xdr:row>
      <xdr:rowOff>88900</xdr:rowOff>
    </xdr:from>
    <xdr:to>
      <xdr:col>16</xdr:col>
      <xdr:colOff>539750</xdr:colOff>
      <xdr:row>27</xdr:row>
      <xdr:rowOff>117475</xdr:rowOff>
    </xdr:to>
    <xdr:graphicFrame>
      <xdr:nvGraphicFramePr>
        <xdr:cNvPr id="3" name="图表 2"/>
        <xdr:cNvGraphicFramePr/>
      </xdr:nvGraphicFramePr>
      <xdr:xfrm>
        <a:off x="7531100" y="2222500"/>
        <a:ext cx="4572000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240665</xdr:colOff>
      <xdr:row>29</xdr:row>
      <xdr:rowOff>28575</xdr:rowOff>
    </xdr:from>
    <xdr:to>
      <xdr:col>13</xdr:col>
      <xdr:colOff>110490</xdr:colOff>
      <xdr:row>46</xdr:row>
      <xdr:rowOff>104140</xdr:rowOff>
    </xdr:to>
    <xdr:graphicFrame>
      <xdr:nvGraphicFramePr>
        <xdr:cNvPr id="4" name="图表 3"/>
        <xdr:cNvGraphicFramePr/>
      </xdr:nvGraphicFramePr>
      <xdr:xfrm>
        <a:off x="5098415" y="5184775"/>
        <a:ext cx="4518025" cy="3098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0.398938053097345</cdr:x>
      <cdr:y>0.0232667450058754</cdr:y>
    </cdr:from>
    <cdr:to>
      <cdr:x>0.619115044247788</cdr:x>
      <cdr:y>0.148296122209166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146935" y="62865"/>
          <a:ext cx="1184910" cy="33782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Q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实 </a:t>
          </a:r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—— 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△</a:t>
          </a:r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h</a:t>
          </a:r>
          <a:endParaRPr lang="zh-CN" altLang="en-US" sz="1400" b="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0.411111111111111</cdr:x>
      <cdr:y>0.0197879858657244</cdr:y>
    </cdr:from>
    <cdr:to>
      <cdr:x>0.69875</cdr:x>
      <cdr:y>0.144876325088339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879600" y="53340"/>
          <a:ext cx="1315085" cy="33718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Q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理 </a:t>
          </a:r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—— 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△</a:t>
          </a:r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h</a:t>
          </a:r>
          <a:endParaRPr lang="zh-CN" altLang="en-US" sz="1400" b="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0.371047083626142</cdr:x>
      <cdr:y>0.024390243902439</cdr:y>
    </cdr:from>
    <cdr:to>
      <cdr:x>0.597048489107519</cdr:x>
      <cdr:y>0.140602582496413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676400" y="75565"/>
          <a:ext cx="1021080" cy="36004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none" rtlCol="0"/>
        <a:lstStyle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μ ——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 △</a:t>
          </a:r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h</a:t>
          </a:r>
          <a:endParaRPr lang="zh-CN" altLang="en-US" sz="1400" b="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&#36164;&#26009;\&#23398;&#20064;\&#22823;&#20108;&#19979;&#23398;&#20064;&#36164;&#26009;\&#27700;&#21147;&#23398;\&#23454;&#39564;\&#25991;&#36879;&#37324;&#31649;\&#25968;&#25454;&#22788;&#2970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G2">
            <v>262.702702702703</v>
          </cell>
          <cell r="H2">
            <v>58.99</v>
          </cell>
          <cell r="I2">
            <v>270.11185698046</v>
          </cell>
          <cell r="J2">
            <v>0.972570051679394</v>
          </cell>
        </row>
        <row r="3">
          <cell r="G3">
            <v>250.727915194346</v>
          </cell>
          <cell r="H3">
            <v>53.43</v>
          </cell>
          <cell r="I3">
            <v>257.067419273603</v>
          </cell>
          <cell r="J3">
            <v>0.975339138280648</v>
          </cell>
        </row>
        <row r="4">
          <cell r="G4">
            <v>211.178571428571</v>
          </cell>
          <cell r="H4">
            <v>40.31</v>
          </cell>
          <cell r="I4">
            <v>223.285668849239</v>
          </cell>
          <cell r="J4">
            <v>0.94577754370415</v>
          </cell>
        </row>
        <row r="5">
          <cell r="G5">
            <v>188.962861072902</v>
          </cell>
          <cell r="H5">
            <v>33.12</v>
          </cell>
          <cell r="I5">
            <v>202.394923194954</v>
          </cell>
          <cell r="J5">
            <v>0.93363439205877</v>
          </cell>
        </row>
        <row r="6">
          <cell r="G6">
            <v>163.833962264151</v>
          </cell>
          <cell r="H6">
            <v>25.07</v>
          </cell>
          <cell r="I6">
            <v>176.088752833561</v>
          </cell>
          <cell r="J6">
            <v>0.930405603014333</v>
          </cell>
        </row>
        <row r="7">
          <cell r="G7">
            <v>153.074186550976</v>
          </cell>
          <cell r="H7">
            <v>20.86</v>
          </cell>
          <cell r="I7">
            <v>160.62443113924</v>
          </cell>
          <cell r="J7">
            <v>0.952994419748519</v>
          </cell>
        </row>
        <row r="8">
          <cell r="G8">
            <v>129.842016806723</v>
          </cell>
          <cell r="H8">
            <v>16.12</v>
          </cell>
          <cell r="I8">
            <v>141.200738872081</v>
          </cell>
          <cell r="J8">
            <v>0.919556213684914</v>
          </cell>
        </row>
        <row r="9">
          <cell r="G9">
            <v>105.772197309417</v>
          </cell>
          <cell r="H9">
            <v>11.47</v>
          </cell>
          <cell r="I9">
            <v>119.10669104976</v>
          </cell>
          <cell r="J9">
            <v>0.888045804792174</v>
          </cell>
        </row>
        <row r="10">
          <cell r="G10">
            <v>42.4792934249264</v>
          </cell>
          <cell r="H10">
            <v>2.11</v>
          </cell>
          <cell r="I10">
            <v>51.0852682486479</v>
          </cell>
          <cell r="J10">
            <v>0.831537053268791</v>
          </cell>
        </row>
        <row r="11">
          <cell r="G11">
            <v>21.9326451176172</v>
          </cell>
          <cell r="H11">
            <v>0.640000000000001</v>
          </cell>
          <cell r="I11">
            <v>28.1348392120817</v>
          </cell>
          <cell r="J11">
            <v>0.779554663607207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A7" sqref="$A7:$XFD7"/>
    </sheetView>
  </sheetViews>
  <sheetFormatPr defaultColWidth="9.81818181818182" defaultRowHeight="14"/>
  <cols>
    <col min="1" max="1" width="5.54545454545455" style="1" customWidth="1"/>
    <col min="2" max="3" width="13.0909090909091" style="1" customWidth="1"/>
    <col min="4" max="5" width="13.1818181818182" style="1" customWidth="1"/>
    <col min="6" max="6" width="11.4545454545455" style="1" customWidth="1"/>
    <col min="7" max="7" width="10.7272727272727" style="1" customWidth="1"/>
    <col min="8" max="8" width="7.72727272727273" style="1" customWidth="1"/>
    <col min="9" max="9" width="13" style="1" customWidth="1"/>
    <col min="10" max="10" width="5.63636363636364" style="1" customWidth="1"/>
    <col min="11" max="16384" width="9.81818181818182" style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</row>
    <row r="2" s="1" customFormat="1" spans="1:10">
      <c r="A2" s="3">
        <v>1</v>
      </c>
      <c r="B2" s="4">
        <v>48.6</v>
      </c>
      <c r="C2" s="4">
        <v>121.1</v>
      </c>
      <c r="D2" s="4">
        <v>2.6</v>
      </c>
      <c r="E2" s="4">
        <v>21.3</v>
      </c>
      <c r="F2" s="5">
        <v>10.71</v>
      </c>
      <c r="G2" s="6">
        <f>((E2-D2)*140.25)/F2</f>
        <v>244.880952380952</v>
      </c>
      <c r="H2" s="6">
        <f>C2-B2</f>
        <v>72.5</v>
      </c>
      <c r="I2" s="6">
        <f>$B$13*SQRT(H2)</f>
        <v>262.270926804445</v>
      </c>
      <c r="J2" s="6">
        <f>G2/I2</f>
        <v>0.933694616344346</v>
      </c>
    </row>
    <row r="3" s="1" customFormat="1" spans="1:10">
      <c r="A3" s="3">
        <v>2</v>
      </c>
      <c r="B3" s="4">
        <v>54</v>
      </c>
      <c r="C3" s="4">
        <v>117.2</v>
      </c>
      <c r="D3" s="4">
        <v>2.8</v>
      </c>
      <c r="E3" s="4">
        <v>20</v>
      </c>
      <c r="F3" s="5">
        <v>10.47</v>
      </c>
      <c r="G3" s="6">
        <f t="shared" ref="G3:G11" si="0">((E3-D3)*140.25)/F3</f>
        <v>230.401146131805</v>
      </c>
      <c r="H3" s="6">
        <f t="shared" ref="H3:H11" si="1">C3-B3</f>
        <v>63.2</v>
      </c>
      <c r="I3" s="6">
        <f t="shared" ref="I3:I11" si="2">$B$13*SQRT(H3)</f>
        <v>244.87231487005</v>
      </c>
      <c r="J3" s="6">
        <f t="shared" ref="J2:J11" si="3">G3/I3</f>
        <v>0.940903206040567</v>
      </c>
    </row>
    <row r="4" s="1" customFormat="1" spans="1:10">
      <c r="A4" s="3">
        <v>3</v>
      </c>
      <c r="B4" s="4">
        <v>58</v>
      </c>
      <c r="C4" s="4">
        <v>114</v>
      </c>
      <c r="D4" s="4">
        <v>2.8</v>
      </c>
      <c r="E4" s="4">
        <v>19.3</v>
      </c>
      <c r="F4" s="5">
        <v>10.76</v>
      </c>
      <c r="G4" s="6">
        <f t="shared" si="0"/>
        <v>215.067379182156</v>
      </c>
      <c r="H4" s="6">
        <f t="shared" si="1"/>
        <v>56</v>
      </c>
      <c r="I4" s="6">
        <f t="shared" si="2"/>
        <v>230.502245830163</v>
      </c>
      <c r="J4" s="6">
        <f t="shared" si="3"/>
        <v>0.933038107319007</v>
      </c>
    </row>
    <row r="5" s="1" customFormat="1" spans="1:10">
      <c r="A5" s="3">
        <v>4</v>
      </c>
      <c r="B5" s="4">
        <v>64.2</v>
      </c>
      <c r="C5" s="4">
        <v>109.3</v>
      </c>
      <c r="D5" s="4">
        <v>2.8</v>
      </c>
      <c r="E5" s="4">
        <v>19.4</v>
      </c>
      <c r="F5" s="5">
        <v>11.79</v>
      </c>
      <c r="G5" s="6">
        <f t="shared" si="0"/>
        <v>197.468193384224</v>
      </c>
      <c r="H5" s="6">
        <f t="shared" si="1"/>
        <v>45.1</v>
      </c>
      <c r="I5" s="6">
        <f t="shared" si="2"/>
        <v>206.856617375201</v>
      </c>
      <c r="J5" s="6">
        <f t="shared" si="3"/>
        <v>0.954613857124289</v>
      </c>
    </row>
    <row r="6" s="1" customFormat="1" spans="1:10">
      <c r="A6" s="3">
        <v>5</v>
      </c>
      <c r="B6" s="4">
        <v>71</v>
      </c>
      <c r="C6" s="4">
        <v>104</v>
      </c>
      <c r="D6" s="4">
        <v>2.4</v>
      </c>
      <c r="E6" s="4">
        <v>20</v>
      </c>
      <c r="F6" s="5">
        <v>15.02</v>
      </c>
      <c r="G6" s="6">
        <f t="shared" si="0"/>
        <v>164.340878828229</v>
      </c>
      <c r="H6" s="6">
        <f t="shared" si="1"/>
        <v>33</v>
      </c>
      <c r="I6" s="6">
        <f t="shared" si="2"/>
        <v>176.944927670242</v>
      </c>
      <c r="J6" s="6">
        <f t="shared" si="3"/>
        <v>0.928768521324884</v>
      </c>
    </row>
    <row r="7" s="1" customFormat="1" spans="1:10">
      <c r="A7" s="3">
        <v>6</v>
      </c>
      <c r="B7" s="4">
        <v>75.5</v>
      </c>
      <c r="C7" s="4">
        <v>100.3</v>
      </c>
      <c r="D7" s="4">
        <v>2.4</v>
      </c>
      <c r="E7" s="4">
        <v>19.3</v>
      </c>
      <c r="F7" s="5">
        <v>16.51</v>
      </c>
      <c r="G7" s="6">
        <f t="shared" si="0"/>
        <v>143.562992125984</v>
      </c>
      <c r="H7" s="6">
        <f t="shared" si="1"/>
        <v>24.8</v>
      </c>
      <c r="I7" s="6">
        <f t="shared" si="2"/>
        <v>153.393511006134</v>
      </c>
      <c r="J7" s="6">
        <f t="shared" si="3"/>
        <v>0.935913072100184</v>
      </c>
    </row>
    <row r="8" s="1" customFormat="1" spans="1:10">
      <c r="A8" s="3">
        <v>7</v>
      </c>
      <c r="B8" s="4">
        <v>81.9</v>
      </c>
      <c r="C8" s="4">
        <v>95.4</v>
      </c>
      <c r="D8" s="4">
        <v>3.6</v>
      </c>
      <c r="E8" s="4">
        <v>19.4</v>
      </c>
      <c r="F8" s="5">
        <v>20.96</v>
      </c>
      <c r="G8" s="6">
        <f t="shared" si="0"/>
        <v>105.722805343511</v>
      </c>
      <c r="H8" s="6">
        <f t="shared" si="1"/>
        <v>13.5</v>
      </c>
      <c r="I8" s="6">
        <f t="shared" si="2"/>
        <v>113.174356004362</v>
      </c>
      <c r="J8" s="6">
        <f t="shared" si="3"/>
        <v>0.93415866523187</v>
      </c>
    </row>
    <row r="9" s="1" customFormat="1" spans="1:10">
      <c r="A9" s="3">
        <v>8</v>
      </c>
      <c r="B9" s="4">
        <v>86</v>
      </c>
      <c r="C9" s="4">
        <v>92.2</v>
      </c>
      <c r="D9" s="4">
        <v>2.5</v>
      </c>
      <c r="E9" s="4">
        <v>19.4</v>
      </c>
      <c r="F9" s="5">
        <v>34.04</v>
      </c>
      <c r="G9" s="6">
        <f t="shared" si="0"/>
        <v>69.6305816686251</v>
      </c>
      <c r="H9" s="6">
        <f t="shared" si="1"/>
        <v>6.2</v>
      </c>
      <c r="I9" s="6">
        <f t="shared" si="2"/>
        <v>76.6967555030668</v>
      </c>
      <c r="J9" s="6">
        <f t="shared" si="3"/>
        <v>0.907868673347477</v>
      </c>
    </row>
    <row r="10" s="1" customFormat="1" spans="1:10">
      <c r="A10" s="3">
        <v>9</v>
      </c>
      <c r="B10" s="4">
        <v>87</v>
      </c>
      <c r="C10" s="4">
        <v>90.9</v>
      </c>
      <c r="D10" s="4">
        <v>2.4</v>
      </c>
      <c r="E10" s="4">
        <v>19.5</v>
      </c>
      <c r="F10" s="5">
        <v>45.38</v>
      </c>
      <c r="G10" s="6">
        <f t="shared" si="0"/>
        <v>52.8487219039224</v>
      </c>
      <c r="H10" s="6">
        <f t="shared" si="1"/>
        <v>3.90000000000001</v>
      </c>
      <c r="I10" s="6">
        <f t="shared" si="2"/>
        <v>60.8293885736576</v>
      </c>
      <c r="J10" s="6">
        <f t="shared" si="3"/>
        <v>0.868802451300796</v>
      </c>
    </row>
    <row r="11" s="1" customFormat="1" spans="1:10">
      <c r="A11" s="3">
        <v>10</v>
      </c>
      <c r="B11" s="4">
        <v>89</v>
      </c>
      <c r="C11" s="4">
        <v>90.15</v>
      </c>
      <c r="D11" s="4">
        <v>2.4</v>
      </c>
      <c r="E11" s="4">
        <v>20.2</v>
      </c>
      <c r="F11" s="5" t="s">
        <v>10</v>
      </c>
      <c r="G11" s="6">
        <f t="shared" si="0"/>
        <v>19.5233440212716</v>
      </c>
      <c r="H11" s="6">
        <f t="shared" si="1"/>
        <v>1.15000000000001</v>
      </c>
      <c r="I11" s="6">
        <f t="shared" si="2"/>
        <v>33.0316347646632</v>
      </c>
      <c r="J11" s="6">
        <f t="shared" si="3"/>
        <v>0.591049887792941</v>
      </c>
    </row>
    <row r="13" s="1" customFormat="1" spans="1:2">
      <c r="A13" s="1" t="s">
        <v>11</v>
      </c>
      <c r="B13" s="1">
        <f>(0.25*PI())*(SQRT(2*980))*((2*2*0.93*0.93)/(SQRT(2^4-0.93^4)))</f>
        <v>30.8021582420862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粮食和蔬菜</cp:lastModifiedBy>
  <dcterms:created xsi:type="dcterms:W3CDTF">2020-05-14T10:58:00Z</dcterms:created>
  <dcterms:modified xsi:type="dcterms:W3CDTF">2020-05-15T11:24:42Z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