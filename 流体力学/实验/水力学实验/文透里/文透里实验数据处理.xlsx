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8795" activeTab="1"/>
  </bookViews>
  <sheets>
    <sheet name="动量" sheetId="1" r:id="rId1"/>
    <sheet name="文透里" sheetId="2" r:id="rId2"/>
  </sheets>
  <calcPr calcId="144525"/>
</workbook>
</file>

<file path=xl/sharedStrings.xml><?xml version="1.0" encoding="utf-8"?>
<sst xmlns="http://schemas.openxmlformats.org/spreadsheetml/2006/main" count="26" uniqueCount="26">
  <si>
    <t>序号</t>
  </si>
  <si>
    <t>天平测量及计算读数</t>
  </si>
  <si>
    <t>流量测量及计算</t>
  </si>
  <si>
    <t>误差（%）</t>
  </si>
  <si>
    <t>砝码R1(g)</t>
  </si>
  <si>
    <t>微调R2(g)</t>
  </si>
  <si>
    <t>R1+R2(g)</t>
  </si>
  <si>
    <t>R计算(N)</t>
  </si>
  <si>
    <t>初水位h1(cm)</t>
  </si>
  <si>
    <t>末水位h2(cm)</t>
  </si>
  <si>
    <t>时间t(s)</t>
  </si>
  <si>
    <r>
      <rPr>
        <sz val="11"/>
        <color theme="1"/>
        <rFont val="等线"/>
        <charset val="134"/>
        <scheme val="minor"/>
      </rPr>
      <t>流量Q(cm</t>
    </r>
    <r>
      <rPr>
        <sz val="11"/>
        <color theme="1"/>
        <rFont val="Calibri"/>
        <charset val="134"/>
      </rPr>
      <t>3</t>
    </r>
    <r>
      <rPr>
        <sz val="11"/>
        <color theme="1"/>
        <rFont val="等线"/>
        <charset val="134"/>
      </rPr>
      <t>/s)</t>
    </r>
  </si>
  <si>
    <t>喷嘴出口流速v(m/s)</t>
  </si>
  <si>
    <t>R实验(N)</t>
  </si>
  <si>
    <t>K文</t>
  </si>
  <si>
    <t>测次</t>
  </si>
  <si>
    <t>Q实</t>
  </si>
  <si>
    <r>
      <rPr>
        <sz val="11"/>
        <color theme="1"/>
        <rFont val="Calibri"/>
        <charset val="134"/>
      </rPr>
      <t>Δ</t>
    </r>
    <r>
      <rPr>
        <sz val="11"/>
        <color theme="1"/>
        <rFont val="等线"/>
        <charset val="134"/>
      </rPr>
      <t>h文</t>
    </r>
  </si>
  <si>
    <t>Q理文</t>
  </si>
  <si>
    <r>
      <rPr>
        <sz val="11"/>
        <color theme="1"/>
        <rFont val="等线"/>
        <charset val="134"/>
      </rPr>
      <t>μ文</t>
    </r>
  </si>
  <si>
    <t>h1</t>
  </si>
  <si>
    <t>h2</t>
  </si>
  <si>
    <t>H1</t>
  </si>
  <si>
    <t>H2</t>
  </si>
  <si>
    <t>t</t>
  </si>
  <si>
    <t>A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</si>
</sst>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  <numFmt numFmtId="177" formatCode="0.00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Calibri"/>
      <charset val="134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8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</a:t>
            </a:r>
            <a:r>
              <a:rPr lang="zh-CN" altLang="en-US"/>
              <a:t>理</a:t>
            </a:r>
            <a:r>
              <a:rPr lang="en-US" altLang="zh-CN"/>
              <a:t>-</a:t>
            </a:r>
            <a:r>
              <a:rPr lang="el-GR" altLang="zh-CN"/>
              <a:t>Δ</a:t>
            </a:r>
            <a:r>
              <a:rPr lang="en-US" altLang="zh-CN"/>
              <a:t>h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文透里!$E$2:$E$10</c:f>
              <c:numCache>
                <c:formatCode>0.00_ </c:formatCode>
                <c:ptCount val="9"/>
                <c:pt idx="0">
                  <c:v>120.9</c:v>
                </c:pt>
                <c:pt idx="1">
                  <c:v>93.6</c:v>
                </c:pt>
                <c:pt idx="2">
                  <c:v>75.9</c:v>
                </c:pt>
                <c:pt idx="3">
                  <c:v>49.4</c:v>
                </c:pt>
                <c:pt idx="4">
                  <c:v>40.9</c:v>
                </c:pt>
                <c:pt idx="5">
                  <c:v>26.75</c:v>
                </c:pt>
                <c:pt idx="6">
                  <c:v>19.95</c:v>
                </c:pt>
                <c:pt idx="7">
                  <c:v>12.75</c:v>
                </c:pt>
                <c:pt idx="8">
                  <c:v>0.549999999999997</c:v>
                </c:pt>
              </c:numCache>
            </c:numRef>
          </c:xVal>
          <c:yVal>
            <c:numRef>
              <c:f>文透里!$F$2:$F$10</c:f>
              <c:numCache>
                <c:formatCode>0.00_ </c:formatCode>
                <c:ptCount val="9"/>
                <c:pt idx="0">
                  <c:v>362.091282696643</c:v>
                </c:pt>
                <c:pt idx="1">
                  <c:v>318.597851891063</c:v>
                </c:pt>
                <c:pt idx="2">
                  <c:v>286.89686781124</c:v>
                </c:pt>
                <c:pt idx="3">
                  <c:v>231.455973337047</c:v>
                </c:pt>
                <c:pt idx="4">
                  <c:v>210.60397936625</c:v>
                </c:pt>
                <c:pt idx="5">
                  <c:v>170.320456366081</c:v>
                </c:pt>
                <c:pt idx="6">
                  <c:v>147.087704047449</c:v>
                </c:pt>
                <c:pt idx="7">
                  <c:v>117.587189790172</c:v>
                </c:pt>
                <c:pt idx="8">
                  <c:v>24.4222832378547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257704"/>
        <c:axId val="457263936"/>
      </c:scatterChart>
      <c:valAx>
        <c:axId val="45725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CN"/>
                  <a:t>Δ</a:t>
                </a:r>
                <a:r>
                  <a:rPr lang="en-US" altLang="zh-CN"/>
                  <a:t>h(cm)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263936"/>
        <c:crosses val="autoZero"/>
        <c:crossBetween val="midCat"/>
      </c:valAx>
      <c:valAx>
        <c:axId val="4572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Q</a:t>
                </a:r>
                <a:r>
                  <a:rPr lang="zh-CN" altLang="en-US"/>
                  <a:t>理（</a:t>
                </a:r>
                <a:r>
                  <a:rPr lang="en-US" altLang="zh-CN"/>
                  <a:t>cm3/s)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257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</a:t>
            </a:r>
            <a:r>
              <a:rPr lang="zh-CN" altLang="en-US"/>
              <a:t>实</a:t>
            </a:r>
            <a:r>
              <a:rPr lang="en-US" altLang="zh-CN"/>
              <a:t>-</a:t>
            </a:r>
            <a:r>
              <a:rPr lang="el-GR" altLang="zh-CN"/>
              <a:t>Δ</a:t>
            </a:r>
            <a:r>
              <a:rPr lang="en-US" altLang="zh-CN"/>
              <a:t>h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文透里!$E$2:$E$10</c:f>
              <c:numCache>
                <c:formatCode>0.00_ </c:formatCode>
                <c:ptCount val="9"/>
                <c:pt idx="0">
                  <c:v>120.9</c:v>
                </c:pt>
                <c:pt idx="1">
                  <c:v>93.6</c:v>
                </c:pt>
                <c:pt idx="2">
                  <c:v>75.9</c:v>
                </c:pt>
                <c:pt idx="3">
                  <c:v>49.4</c:v>
                </c:pt>
                <c:pt idx="4">
                  <c:v>40.9</c:v>
                </c:pt>
                <c:pt idx="5">
                  <c:v>26.75</c:v>
                </c:pt>
                <c:pt idx="6">
                  <c:v>19.95</c:v>
                </c:pt>
                <c:pt idx="7">
                  <c:v>12.75</c:v>
                </c:pt>
                <c:pt idx="8">
                  <c:v>0.549999999999997</c:v>
                </c:pt>
              </c:numCache>
            </c:numRef>
          </c:xVal>
          <c:yVal>
            <c:numRef>
              <c:f>文透里!$H$2:$H$10</c:f>
              <c:numCache>
                <c:formatCode>0.00_ </c:formatCode>
                <c:ptCount val="9"/>
                <c:pt idx="0">
                  <c:v>349.827117572693</c:v>
                </c:pt>
                <c:pt idx="1">
                  <c:v>311.629071170084</c:v>
                </c:pt>
                <c:pt idx="2">
                  <c:v>273.739230769231</c:v>
                </c:pt>
                <c:pt idx="3">
                  <c:v>222.010089686099</c:v>
                </c:pt>
                <c:pt idx="4">
                  <c:v>199.710365853659</c:v>
                </c:pt>
                <c:pt idx="5">
                  <c:v>167.525952693824</c:v>
                </c:pt>
                <c:pt idx="6">
                  <c:v>141.810934891486</c:v>
                </c:pt>
                <c:pt idx="7">
                  <c:v>109.207217573222</c:v>
                </c:pt>
                <c:pt idx="8">
                  <c:v>22.4102436598707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179128"/>
        <c:axId val="567176832"/>
      </c:scatterChart>
      <c:valAx>
        <c:axId val="56717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CN"/>
                  <a:t>Δ</a:t>
                </a:r>
                <a:r>
                  <a:rPr lang="en-US" altLang="zh-CN"/>
                  <a:t>h(cm)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176832"/>
        <c:crosses val="autoZero"/>
        <c:crossBetween val="midCat"/>
      </c:valAx>
      <c:valAx>
        <c:axId val="5671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Q</a:t>
                </a:r>
                <a:r>
                  <a:rPr lang="zh-CN" altLang="en-US"/>
                  <a:t>实</a:t>
                </a:r>
                <a:r>
                  <a:rPr lang="en-US" altLang="zh-CN"/>
                  <a:t>(cm3/s)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17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altLang="zh-CN"/>
              <a:t>μ</a:t>
            </a:r>
            <a:r>
              <a:rPr lang="en-US" altLang="zh-CN"/>
              <a:t>-</a:t>
            </a:r>
            <a:r>
              <a:rPr lang="el-GR" altLang="zh-CN"/>
              <a:t>Δ</a:t>
            </a:r>
            <a:r>
              <a:rPr lang="en-US" altLang="zh-CN"/>
              <a:t>h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05107084019769"/>
          <c:y val="0.26875"/>
          <c:w val="0.81444261394838"/>
          <c:h val="0.61421296296296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Lbls>
            <c:delete val="1"/>
          </c:dLbls>
          <c:xVal>
            <c:numRef>
              <c:f>文透里!$E$2:$E$11</c:f>
              <c:numCache>
                <c:formatCode>0.00_ </c:formatCode>
                <c:ptCount val="10"/>
                <c:pt idx="0">
                  <c:v>120.9</c:v>
                </c:pt>
                <c:pt idx="1">
                  <c:v>93.6</c:v>
                </c:pt>
                <c:pt idx="2">
                  <c:v>75.9</c:v>
                </c:pt>
                <c:pt idx="3">
                  <c:v>49.4</c:v>
                </c:pt>
                <c:pt idx="4">
                  <c:v>40.9</c:v>
                </c:pt>
                <c:pt idx="5">
                  <c:v>26.75</c:v>
                </c:pt>
                <c:pt idx="6">
                  <c:v>19.95</c:v>
                </c:pt>
                <c:pt idx="7">
                  <c:v>12.75</c:v>
                </c:pt>
                <c:pt idx="8">
                  <c:v>0.549999999999997</c:v>
                </c:pt>
                <c:pt idx="9" c:formatCode="General">
                  <c:v>0</c:v>
                </c:pt>
              </c:numCache>
            </c:numRef>
          </c:xVal>
          <c:yVal>
            <c:numRef>
              <c:f>文透里!$G$2:$G$11</c:f>
              <c:numCache>
                <c:formatCode>0.00_ </c:formatCode>
                <c:ptCount val="10"/>
                <c:pt idx="0">
                  <c:v>0.966129631642569</c:v>
                </c:pt>
                <c:pt idx="1">
                  <c:v>0.978126717805487</c:v>
                </c:pt>
                <c:pt idx="2">
                  <c:v>0.954138094492318</c:v>
                </c:pt>
                <c:pt idx="3">
                  <c:v>0.959189285483708</c:v>
                </c:pt>
                <c:pt idx="4">
                  <c:v>0.948274417485497</c:v>
                </c:pt>
                <c:pt idx="5">
                  <c:v>0.983592671532946</c:v>
                </c:pt>
                <c:pt idx="6">
                  <c:v>0.964125015138851</c:v>
                </c:pt>
                <c:pt idx="7">
                  <c:v>0.928733969815044</c:v>
                </c:pt>
                <c:pt idx="8">
                  <c:v>0.917614599814923</c:v>
                </c:pt>
                <c:pt idx="9" c:formatCode="General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57928"/>
        <c:axId val="455462520"/>
      </c:scatterChart>
      <c:valAx>
        <c:axId val="45545792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462520"/>
        <c:crosses val="autoZero"/>
        <c:crossBetween val="midCat"/>
      </c:valAx>
      <c:valAx>
        <c:axId val="45546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457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198120</xdr:colOff>
      <xdr:row>13</xdr:row>
      <xdr:rowOff>148590</xdr:rowOff>
    </xdr:from>
    <xdr:to>
      <xdr:col>8</xdr:col>
      <xdr:colOff>502920</xdr:colOff>
      <xdr:row>29</xdr:row>
      <xdr:rowOff>87630</xdr:rowOff>
    </xdr:to>
    <xdr:graphicFrame>
      <xdr:nvGraphicFramePr>
        <xdr:cNvPr id="2" name="图表 1"/>
        <xdr:cNvGraphicFramePr/>
      </xdr:nvGraphicFramePr>
      <xdr:xfrm>
        <a:off x="815340" y="243459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13</xdr:row>
      <xdr:rowOff>163830</xdr:rowOff>
    </xdr:from>
    <xdr:to>
      <xdr:col>16</xdr:col>
      <xdr:colOff>274320</xdr:colOff>
      <xdr:row>29</xdr:row>
      <xdr:rowOff>102870</xdr:rowOff>
    </xdr:to>
    <xdr:graphicFrame>
      <xdr:nvGraphicFramePr>
        <xdr:cNvPr id="3" name="图表 2"/>
        <xdr:cNvGraphicFramePr/>
      </xdr:nvGraphicFramePr>
      <xdr:xfrm>
        <a:off x="5516880" y="244983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160020</xdr:colOff>
      <xdr:row>4</xdr:row>
      <xdr:rowOff>27305</xdr:rowOff>
    </xdr:from>
    <xdr:to>
      <xdr:col>16</xdr:col>
      <xdr:colOff>464820</xdr:colOff>
      <xdr:row>19</xdr:row>
      <xdr:rowOff>171450</xdr:rowOff>
    </xdr:to>
    <xdr:graphicFrame>
      <xdr:nvGraphicFramePr>
        <xdr:cNvPr id="5" name="图表 4"/>
        <xdr:cNvGraphicFramePr/>
      </xdr:nvGraphicFramePr>
      <xdr:xfrm>
        <a:off x="5715000" y="735965"/>
        <a:ext cx="4625340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E22" sqref="E22"/>
    </sheetView>
  </sheetViews>
  <sheetFormatPr defaultColWidth="9" defaultRowHeight="13.8"/>
  <cols>
    <col min="11" max="11" width="10" customWidth="1"/>
  </cols>
  <sheetData>
    <row r="1" spans="1:12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/>
      <c r="K1" s="1"/>
      <c r="L1" s="1" t="s">
        <v>3</v>
      </c>
    </row>
    <row r="2" ht="14.4" spans="1:12">
      <c r="A2" s="1"/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1"/>
    </row>
    <row r="3" spans="1:12">
      <c r="A3" s="1">
        <v>1</v>
      </c>
      <c r="B3" s="5">
        <v>100</v>
      </c>
      <c r="C3" s="5">
        <v>0.55</v>
      </c>
      <c r="D3" s="5">
        <f>B3+C3</f>
        <v>100.55</v>
      </c>
      <c r="E3" s="5">
        <f>D3*9.81/1000</f>
        <v>0.9863955</v>
      </c>
      <c r="F3" s="5">
        <v>2.8</v>
      </c>
      <c r="G3" s="5">
        <v>8.8</v>
      </c>
      <c r="H3" s="5">
        <v>7.47</v>
      </c>
      <c r="I3" s="5">
        <f>(G3-F3)*212.66/H3</f>
        <v>170.81124497992</v>
      </c>
      <c r="J3" s="5">
        <f>I3*4/(3.14*0.8*0.8)</f>
        <v>339.990535389968</v>
      </c>
      <c r="K3" s="5">
        <f>I3*SQRT(J3^2-2*981*3.65)*(1+SQRT(2)/2)/100000</f>
        <v>0.960188297839095</v>
      </c>
      <c r="L3" s="5">
        <f>ABS(K3-E3)*100/K3</f>
        <v>2.72938154108778</v>
      </c>
    </row>
    <row r="4" spans="1:12">
      <c r="A4" s="1">
        <v>2</v>
      </c>
      <c r="B4" s="5">
        <v>110</v>
      </c>
      <c r="C4" s="5">
        <v>2.5</v>
      </c>
      <c r="D4" s="5">
        <f t="shared" ref="D4:D10" si="0">B4+C4</f>
        <v>112.5</v>
      </c>
      <c r="E4" s="5">
        <f t="shared" ref="E4:E10" si="1">D4*9.81/1000</f>
        <v>1.103625</v>
      </c>
      <c r="F4" s="5">
        <v>2.45</v>
      </c>
      <c r="G4" s="5">
        <v>8.4</v>
      </c>
      <c r="H4" s="5">
        <v>7.12</v>
      </c>
      <c r="I4" s="5">
        <f t="shared" ref="I4:I10" si="2">(G4-F4)*212.66/H4</f>
        <v>177.714466292135</v>
      </c>
      <c r="J4" s="5">
        <f t="shared" ref="J4:J10" si="3">I4*4/(3.14*0.8*0.8)</f>
        <v>353.73102367065</v>
      </c>
      <c r="K4" s="5">
        <f t="shared" ref="K4:K10" si="4">I4*SQRT(J4^2-2*981*3.65)*(1+SQRT(2)/2)/100000</f>
        <v>1.0419786847801</v>
      </c>
      <c r="L4" s="5">
        <f t="shared" ref="L4:L10" si="5">ABS(K4-E4)*100/K4</f>
        <v>5.91627411580976</v>
      </c>
    </row>
    <row r="5" spans="1:12">
      <c r="A5" s="1">
        <v>3</v>
      </c>
      <c r="B5" s="5">
        <v>120</v>
      </c>
      <c r="C5" s="5">
        <v>2.1</v>
      </c>
      <c r="D5" s="5">
        <f t="shared" si="0"/>
        <v>122.1</v>
      </c>
      <c r="E5" s="5">
        <f t="shared" si="1"/>
        <v>1.197801</v>
      </c>
      <c r="F5" s="5">
        <v>2.45</v>
      </c>
      <c r="G5" s="5">
        <v>9.11</v>
      </c>
      <c r="H5" s="5">
        <v>7.34</v>
      </c>
      <c r="I5" s="5">
        <f t="shared" si="2"/>
        <v>192.958528610354</v>
      </c>
      <c r="J5" s="5">
        <f t="shared" si="3"/>
        <v>384.07350439959</v>
      </c>
      <c r="K5" s="5">
        <f t="shared" si="4"/>
        <v>1.23404973906772</v>
      </c>
      <c r="L5" s="5">
        <f t="shared" si="5"/>
        <v>2.93738071652647</v>
      </c>
    </row>
    <row r="6" spans="1:12">
      <c r="A6" s="1">
        <v>4</v>
      </c>
      <c r="B6" s="5">
        <v>130</v>
      </c>
      <c r="C6" s="5">
        <v>1.1</v>
      </c>
      <c r="D6" s="5">
        <f t="shared" si="0"/>
        <v>131.1</v>
      </c>
      <c r="E6" s="5">
        <f t="shared" si="1"/>
        <v>1.286091</v>
      </c>
      <c r="F6" s="5">
        <v>2.4</v>
      </c>
      <c r="G6" s="5">
        <v>9.37</v>
      </c>
      <c r="H6" s="5">
        <v>7.28</v>
      </c>
      <c r="I6" s="5">
        <f t="shared" si="2"/>
        <v>203.604423076923</v>
      </c>
      <c r="J6" s="5">
        <f t="shared" si="3"/>
        <v>405.263580965213</v>
      </c>
      <c r="K6" s="5">
        <f t="shared" si="4"/>
        <v>1.37754110951495</v>
      </c>
      <c r="L6" s="5">
        <f t="shared" si="5"/>
        <v>6.63864830481533</v>
      </c>
    </row>
    <row r="7" spans="1:12">
      <c r="A7" s="1">
        <v>5</v>
      </c>
      <c r="B7" s="5">
        <v>140</v>
      </c>
      <c r="C7" s="5">
        <v>1</v>
      </c>
      <c r="D7" s="5">
        <f t="shared" si="0"/>
        <v>141</v>
      </c>
      <c r="E7" s="5">
        <f t="shared" si="1"/>
        <v>1.38321</v>
      </c>
      <c r="F7" s="5">
        <v>2.3</v>
      </c>
      <c r="G7" s="5">
        <v>9.12</v>
      </c>
      <c r="H7" s="5">
        <v>7.16</v>
      </c>
      <c r="I7" s="5">
        <f t="shared" si="2"/>
        <v>202.561620111732</v>
      </c>
      <c r="J7" s="5">
        <f t="shared" si="3"/>
        <v>403.187938120485</v>
      </c>
      <c r="K7" s="5">
        <f t="shared" si="4"/>
        <v>1.36314563597704</v>
      </c>
      <c r="L7" s="5">
        <f t="shared" si="5"/>
        <v>1.47191638907862</v>
      </c>
    </row>
    <row r="8" spans="1:12">
      <c r="A8" s="1">
        <v>6</v>
      </c>
      <c r="B8" s="5">
        <v>150</v>
      </c>
      <c r="C8" s="5">
        <v>1.25</v>
      </c>
      <c r="D8" s="5">
        <f t="shared" si="0"/>
        <v>151.25</v>
      </c>
      <c r="E8" s="5">
        <f t="shared" si="1"/>
        <v>1.4837625</v>
      </c>
      <c r="F8" s="5">
        <v>2.4</v>
      </c>
      <c r="G8" s="5">
        <v>9.4</v>
      </c>
      <c r="H8" s="5">
        <v>7</v>
      </c>
      <c r="I8" s="5">
        <f t="shared" si="2"/>
        <v>212.66</v>
      </c>
      <c r="J8" s="5">
        <f t="shared" si="3"/>
        <v>423.28821656051</v>
      </c>
      <c r="K8" s="5">
        <f t="shared" si="4"/>
        <v>1.50565469543677</v>
      </c>
      <c r="L8" s="5">
        <f t="shared" si="5"/>
        <v>1.45399841697562</v>
      </c>
    </row>
    <row r="9" spans="1:12">
      <c r="A9" s="1">
        <v>7</v>
      </c>
      <c r="B9" s="5">
        <v>160</v>
      </c>
      <c r="C9" s="5">
        <v>1.35</v>
      </c>
      <c r="D9" s="5">
        <f t="shared" si="0"/>
        <v>161.35</v>
      </c>
      <c r="E9" s="5">
        <f t="shared" si="1"/>
        <v>1.5828435</v>
      </c>
      <c r="F9" s="5">
        <v>2.45</v>
      </c>
      <c r="G9" s="5">
        <v>9.95</v>
      </c>
      <c r="H9" s="5">
        <v>7.12</v>
      </c>
      <c r="I9" s="5">
        <f t="shared" si="2"/>
        <v>224.009831460674</v>
      </c>
      <c r="J9" s="5">
        <f t="shared" si="3"/>
        <v>445.87944160166</v>
      </c>
      <c r="K9" s="5">
        <f t="shared" si="4"/>
        <v>1.67409068295587</v>
      </c>
      <c r="L9" s="5">
        <f t="shared" si="5"/>
        <v>5.45055198531749</v>
      </c>
    </row>
    <row r="10" spans="1:12">
      <c r="A10" s="1">
        <v>8</v>
      </c>
      <c r="B10" s="5">
        <v>170</v>
      </c>
      <c r="C10" s="5">
        <v>1.75</v>
      </c>
      <c r="D10" s="5">
        <f t="shared" si="0"/>
        <v>171.75</v>
      </c>
      <c r="E10" s="5">
        <f t="shared" si="1"/>
        <v>1.6848675</v>
      </c>
      <c r="F10" s="5">
        <v>2.25</v>
      </c>
      <c r="G10" s="5">
        <v>9.7</v>
      </c>
      <c r="H10" s="5">
        <v>6.93</v>
      </c>
      <c r="I10" s="5">
        <f t="shared" si="2"/>
        <v>228.617171717172</v>
      </c>
      <c r="J10" s="5">
        <f t="shared" si="3"/>
        <v>455.05010294023</v>
      </c>
      <c r="K10" s="5">
        <f t="shared" si="4"/>
        <v>1.74496222695569</v>
      </c>
      <c r="L10" s="5">
        <f t="shared" si="5"/>
        <v>3.44389844246268</v>
      </c>
    </row>
  </sheetData>
  <mergeCells count="4">
    <mergeCell ref="B1:E1"/>
    <mergeCell ref="F1:K1"/>
    <mergeCell ref="A1:A2"/>
    <mergeCell ref="L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G14" sqref="G14"/>
    </sheetView>
  </sheetViews>
  <sheetFormatPr defaultColWidth="9" defaultRowHeight="13.8"/>
  <sheetData>
    <row r="1" ht="14.4" spans="1:16">
      <c r="A1" s="1" t="s">
        <v>14</v>
      </c>
      <c r="B1" s="1"/>
      <c r="C1" s="1" t="s">
        <v>15</v>
      </c>
      <c r="D1" s="1" t="s">
        <v>16</v>
      </c>
      <c r="E1" s="2" t="s">
        <v>17</v>
      </c>
      <c r="F1" s="2" t="s">
        <v>18</v>
      </c>
      <c r="G1" s="2" t="s">
        <v>19</v>
      </c>
      <c r="H1" s="2"/>
      <c r="I1" s="1"/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/>
      <c r="P1" s="1"/>
    </row>
    <row r="2" spans="1:16">
      <c r="A2" s="1">
        <v>32.931</v>
      </c>
      <c r="B2" s="1"/>
      <c r="C2" s="1">
        <v>1</v>
      </c>
      <c r="D2" s="3">
        <f>(M2-L2)*$A$7/N2</f>
        <v>349.827117572693</v>
      </c>
      <c r="E2" s="3">
        <f>J2-K2</f>
        <v>120.9</v>
      </c>
      <c r="F2" s="3">
        <f>$A$2*SQRT(E2)</f>
        <v>362.091282696643</v>
      </c>
      <c r="G2" s="3">
        <f>D2/F2</f>
        <v>0.966129631642569</v>
      </c>
      <c r="H2" s="3">
        <f>D2</f>
        <v>349.827117572693</v>
      </c>
      <c r="I2" s="3"/>
      <c r="J2" s="3">
        <v>136</v>
      </c>
      <c r="K2" s="3">
        <v>15.1</v>
      </c>
      <c r="L2" s="3">
        <v>2.72</v>
      </c>
      <c r="M2" s="3">
        <v>22.45</v>
      </c>
      <c r="N2" s="3">
        <v>7.91</v>
      </c>
      <c r="O2" s="1"/>
      <c r="P2" s="1"/>
    </row>
    <row r="3" spans="1:16">
      <c r="A3" s="1"/>
      <c r="B3" s="1"/>
      <c r="C3" s="1">
        <v>2</v>
      </c>
      <c r="D3" s="3">
        <f t="shared" ref="D3:D10" si="0">(M3-L3)*$A$7/N3</f>
        <v>311.629071170084</v>
      </c>
      <c r="E3" s="3">
        <f t="shared" ref="E3:E10" si="1">J3-K3</f>
        <v>93.6</v>
      </c>
      <c r="F3" s="3">
        <f t="shared" ref="F3:F10" si="2">$A$2*SQRT(E3)</f>
        <v>318.597851891063</v>
      </c>
      <c r="G3" s="3">
        <f t="shared" ref="G3:G10" si="3">D3/F3</f>
        <v>0.978126717805487</v>
      </c>
      <c r="H3" s="3">
        <f t="shared" ref="H3:H10" si="4">D3</f>
        <v>311.629071170084</v>
      </c>
      <c r="I3" s="3"/>
      <c r="J3" s="3">
        <v>124.5</v>
      </c>
      <c r="K3" s="3">
        <v>30.9</v>
      </c>
      <c r="L3" s="3">
        <v>2.53</v>
      </c>
      <c r="M3" s="3">
        <v>20.95</v>
      </c>
      <c r="N3" s="3">
        <v>8.29</v>
      </c>
      <c r="O3" s="1"/>
      <c r="P3" s="1"/>
    </row>
    <row r="4" spans="1:16">
      <c r="A4" s="1"/>
      <c r="B4" s="1"/>
      <c r="C4" s="1">
        <v>3</v>
      </c>
      <c r="D4" s="3">
        <f t="shared" si="0"/>
        <v>273.739230769231</v>
      </c>
      <c r="E4" s="3">
        <f t="shared" si="1"/>
        <v>75.9</v>
      </c>
      <c r="F4" s="3">
        <f t="shared" si="2"/>
        <v>286.89686781124</v>
      </c>
      <c r="G4" s="3">
        <f t="shared" si="3"/>
        <v>0.954138094492318</v>
      </c>
      <c r="H4" s="3">
        <f t="shared" si="4"/>
        <v>273.739230769231</v>
      </c>
      <c r="I4" s="3"/>
      <c r="J4" s="3">
        <v>116.5</v>
      </c>
      <c r="K4" s="3">
        <v>40.6</v>
      </c>
      <c r="L4" s="3">
        <v>2.72</v>
      </c>
      <c r="M4" s="3">
        <v>21.75</v>
      </c>
      <c r="N4" s="3">
        <v>9.75</v>
      </c>
      <c r="O4" s="1"/>
      <c r="P4" s="1"/>
    </row>
    <row r="5" spans="1:16">
      <c r="A5" s="1"/>
      <c r="B5" s="1"/>
      <c r="C5" s="1">
        <v>4</v>
      </c>
      <c r="D5" s="3">
        <f t="shared" si="0"/>
        <v>222.010089686099</v>
      </c>
      <c r="E5" s="3">
        <f t="shared" si="1"/>
        <v>49.4</v>
      </c>
      <c r="F5" s="3">
        <f t="shared" si="2"/>
        <v>231.455973337047</v>
      </c>
      <c r="G5" s="3">
        <f t="shared" si="3"/>
        <v>0.959189285483708</v>
      </c>
      <c r="H5" s="3">
        <f t="shared" si="4"/>
        <v>222.010089686099</v>
      </c>
      <c r="I5" s="3"/>
      <c r="J5" s="3">
        <v>105.3</v>
      </c>
      <c r="K5" s="3">
        <v>55.9</v>
      </c>
      <c r="L5" s="3">
        <v>2.6</v>
      </c>
      <c r="M5" s="3">
        <v>20.25</v>
      </c>
      <c r="N5" s="3">
        <v>11.15</v>
      </c>
      <c r="O5" s="1"/>
      <c r="P5" s="1"/>
    </row>
    <row r="6" spans="1:16">
      <c r="A6" s="1" t="s">
        <v>25</v>
      </c>
      <c r="B6" s="1"/>
      <c r="C6" s="1">
        <v>5</v>
      </c>
      <c r="D6" s="3">
        <f t="shared" si="0"/>
        <v>199.710365853659</v>
      </c>
      <c r="E6" s="3">
        <f t="shared" si="1"/>
        <v>40.9</v>
      </c>
      <c r="F6" s="3">
        <f t="shared" si="2"/>
        <v>210.60397936625</v>
      </c>
      <c r="G6" s="3">
        <f t="shared" si="3"/>
        <v>0.948274417485497</v>
      </c>
      <c r="H6" s="3">
        <f t="shared" si="4"/>
        <v>199.710365853659</v>
      </c>
      <c r="I6" s="3"/>
      <c r="J6" s="3">
        <v>101.6</v>
      </c>
      <c r="K6" s="3">
        <v>60.7</v>
      </c>
      <c r="L6" s="3">
        <v>2.68</v>
      </c>
      <c r="M6" s="3">
        <v>22.53</v>
      </c>
      <c r="N6" s="3">
        <v>13.94</v>
      </c>
      <c r="O6" s="1"/>
      <c r="P6" s="1"/>
    </row>
    <row r="7" spans="1:16">
      <c r="A7" s="1">
        <v>140.25</v>
      </c>
      <c r="B7" s="1"/>
      <c r="C7" s="1">
        <v>6</v>
      </c>
      <c r="D7" s="3">
        <f t="shared" si="0"/>
        <v>167.525952693824</v>
      </c>
      <c r="E7" s="3">
        <f t="shared" si="1"/>
        <v>26.75</v>
      </c>
      <c r="F7" s="3">
        <f t="shared" si="2"/>
        <v>170.320456366081</v>
      </c>
      <c r="G7" s="3">
        <f t="shared" si="3"/>
        <v>0.983592671532946</v>
      </c>
      <c r="H7" s="3">
        <f t="shared" si="4"/>
        <v>167.525952693824</v>
      </c>
      <c r="I7" s="3"/>
      <c r="J7" s="3">
        <v>95.45</v>
      </c>
      <c r="K7" s="3">
        <v>68.7</v>
      </c>
      <c r="L7" s="3">
        <v>2.55</v>
      </c>
      <c r="M7" s="3">
        <v>20.73</v>
      </c>
      <c r="N7" s="3">
        <v>15.22</v>
      </c>
      <c r="O7" s="1"/>
      <c r="P7" s="1"/>
    </row>
    <row r="8" spans="1:16">
      <c r="A8" s="1"/>
      <c r="B8" s="1"/>
      <c r="C8" s="1">
        <v>7</v>
      </c>
      <c r="D8" s="3">
        <f t="shared" si="0"/>
        <v>141.810934891486</v>
      </c>
      <c r="E8" s="3">
        <f t="shared" si="1"/>
        <v>19.95</v>
      </c>
      <c r="F8" s="3">
        <f t="shared" si="2"/>
        <v>147.087704047449</v>
      </c>
      <c r="G8" s="3">
        <f t="shared" si="3"/>
        <v>0.964125015138851</v>
      </c>
      <c r="H8" s="3">
        <f t="shared" si="4"/>
        <v>141.810934891486</v>
      </c>
      <c r="I8" s="3"/>
      <c r="J8" s="3">
        <v>92.5</v>
      </c>
      <c r="K8" s="3">
        <v>72.55</v>
      </c>
      <c r="L8" s="3">
        <v>2.7</v>
      </c>
      <c r="M8" s="3">
        <v>20.87</v>
      </c>
      <c r="N8" s="3">
        <v>17.97</v>
      </c>
      <c r="O8" s="1"/>
      <c r="P8" s="1"/>
    </row>
    <row r="9" spans="1:16">
      <c r="A9" s="1"/>
      <c r="B9" s="1"/>
      <c r="C9" s="1">
        <v>8</v>
      </c>
      <c r="D9" s="3">
        <f t="shared" si="0"/>
        <v>109.207217573222</v>
      </c>
      <c r="E9" s="3">
        <f t="shared" si="1"/>
        <v>12.75</v>
      </c>
      <c r="F9" s="3">
        <f t="shared" si="2"/>
        <v>117.587189790172</v>
      </c>
      <c r="G9" s="3">
        <f t="shared" si="3"/>
        <v>0.928733969815044</v>
      </c>
      <c r="H9" s="3">
        <f t="shared" si="4"/>
        <v>109.207217573222</v>
      </c>
      <c r="I9" s="3"/>
      <c r="J9" s="3">
        <v>89.35</v>
      </c>
      <c r="K9" s="3">
        <v>76.6</v>
      </c>
      <c r="L9" s="3">
        <v>2.67</v>
      </c>
      <c r="M9" s="3">
        <v>21.28</v>
      </c>
      <c r="N9" s="3">
        <v>23.9</v>
      </c>
      <c r="O9" s="1"/>
      <c r="P9" s="1"/>
    </row>
    <row r="10" spans="1:16">
      <c r="A10" s="1"/>
      <c r="B10" s="1"/>
      <c r="C10" s="1">
        <v>9</v>
      </c>
      <c r="D10" s="3">
        <f t="shared" si="0"/>
        <v>22.4102436598707</v>
      </c>
      <c r="E10" s="3">
        <f t="shared" si="1"/>
        <v>0.549999999999997</v>
      </c>
      <c r="F10" s="3">
        <f t="shared" si="2"/>
        <v>24.4222832378547</v>
      </c>
      <c r="G10" s="3">
        <f t="shared" si="3"/>
        <v>0.917614599814923</v>
      </c>
      <c r="H10" s="3">
        <f t="shared" si="4"/>
        <v>22.4102436598707</v>
      </c>
      <c r="I10" s="3"/>
      <c r="J10" s="3">
        <v>84.1</v>
      </c>
      <c r="K10" s="3">
        <v>83.55</v>
      </c>
      <c r="L10" s="3">
        <v>2.23</v>
      </c>
      <c r="M10" s="3">
        <v>21.51</v>
      </c>
      <c r="N10" s="3">
        <v>120.66</v>
      </c>
      <c r="O10" s="1"/>
      <c r="P10" s="1"/>
    </row>
    <row r="11" spans="1:16">
      <c r="A11" s="1"/>
      <c r="B11" s="1"/>
      <c r="C11" s="1"/>
      <c r="D11" s="1"/>
      <c r="E11" s="1">
        <v>0</v>
      </c>
      <c r="F11" s="1"/>
      <c r="G11" s="1">
        <v>0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动量</vt:lpstr>
      <vt:lpstr>文透里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卞姿懿</dc:creator>
  <cp:lastModifiedBy>卞姿懿</cp:lastModifiedBy>
  <dcterms:created xsi:type="dcterms:W3CDTF">2021-04-17T14:30:00Z</dcterms:created>
  <dcterms:modified xsi:type="dcterms:W3CDTF">2021-04-21T02:23:55Z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